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К\Documents\АСПи\2026\План доработки\Литература\"/>
    </mc:Choice>
  </mc:AlternateContent>
  <xr:revisionPtr revIDLastSave="0" documentId="8_{2A31C31C-5D71-4543-B529-BE0BA0F6D85B}" xr6:coauthVersionLast="47" xr6:coauthVersionMax="47" xr10:uidLastSave="{00000000-0000-0000-0000-000000000000}"/>
  <bookViews>
    <workbookView xWindow="-90" yWindow="-90" windowWidth="19380" windowHeight="10980" xr2:uid="{C48CC0B0-651C-4F5A-9C51-0779118EE3CC}"/>
  </bookViews>
  <sheets>
    <sheet name="оценка проекта и долгового риск" sheetId="13" r:id="rId1"/>
    <sheet name="2.Фин устойчивость предпр  " sheetId="1" r:id="rId2"/>
    <sheet name="3.Исх проект данные и риски  " sheetId="21" r:id="rId3"/>
    <sheet name="4.Оценка проекта " sheetId="18" r:id="rId4"/>
    <sheet name="5.Отрасл нормативы и WACC " sheetId="7" r:id="rId5"/>
    <sheet name="6.Расчет предельной ставки" sheetId="22" r:id="rId6"/>
  </sheets>
  <definedNames>
    <definedName name="ВидыДеятельности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8" l="1"/>
  <c r="C7" i="18"/>
  <c r="D18" i="21"/>
  <c r="D19" i="21"/>
  <c r="D10" i="1"/>
  <c r="D28" i="21"/>
  <c r="F40" i="21"/>
  <c r="D14" i="1"/>
  <c r="F8" i="21"/>
  <c r="F7" i="21"/>
  <c r="E19" i="18"/>
  <c r="I19" i="18" s="1"/>
  <c r="C4" i="22"/>
  <c r="C8" i="22" s="1"/>
  <c r="G19" i="18" l="1"/>
  <c r="E21" i="18"/>
  <c r="C21" i="18"/>
  <c r="D21" i="18"/>
  <c r="E125" i="21" l="1"/>
  <c r="D11" i="21"/>
  <c r="D127" i="21"/>
  <c r="E105" i="21" l="1"/>
  <c r="E18" i="18"/>
  <c r="E121" i="21"/>
  <c r="G109" i="21"/>
  <c r="F109" i="21"/>
  <c r="C12" i="18" s="1"/>
  <c r="E109" i="21"/>
  <c r="E8" i="21"/>
  <c r="D109" i="21"/>
  <c r="E108" i="21"/>
  <c r="D14" i="21" l="1"/>
  <c r="E13" i="21"/>
  <c r="E14" i="21" s="1"/>
  <c r="F13" i="21"/>
  <c r="F14" i="21" s="1"/>
  <c r="G13" i="21"/>
  <c r="G14" i="21" s="1"/>
  <c r="D13" i="21"/>
  <c r="K16" i="1"/>
  <c r="L16" i="1" s="1"/>
  <c r="M16" i="1" s="1"/>
  <c r="J20" i="1"/>
  <c r="E20" i="1"/>
  <c r="F20" i="1"/>
  <c r="G20" i="1"/>
  <c r="H20" i="1"/>
  <c r="I20" i="1"/>
  <c r="J18" i="1"/>
  <c r="E18" i="1"/>
  <c r="F18" i="1"/>
  <c r="G18" i="1"/>
  <c r="H18" i="1"/>
  <c r="I18" i="1"/>
  <c r="D18" i="1"/>
  <c r="I17" i="1"/>
  <c r="G17" i="1"/>
  <c r="E17" i="1"/>
  <c r="J17" i="1"/>
  <c r="F17" i="1"/>
  <c r="H17" i="1"/>
  <c r="E16" i="1"/>
  <c r="J16" i="1"/>
  <c r="G16" i="1"/>
  <c r="I16" i="1"/>
  <c r="J15" i="1"/>
  <c r="I15" i="1"/>
  <c r="G15" i="1"/>
  <c r="E15" i="1"/>
  <c r="H14" i="1"/>
  <c r="G14" i="1"/>
  <c r="F14" i="1"/>
  <c r="E14" i="1"/>
  <c r="J14" i="1"/>
  <c r="I14" i="1"/>
  <c r="E10" i="1"/>
  <c r="F10" i="1"/>
  <c r="G10" i="1"/>
  <c r="H10" i="1"/>
  <c r="I10" i="1"/>
  <c r="K20" i="1"/>
  <c r="K19" i="1"/>
  <c r="K18" i="1"/>
  <c r="K15" i="1"/>
  <c r="K14" i="1"/>
  <c r="D117" i="21" l="1"/>
  <c r="E13" i="18" l="1"/>
  <c r="E14" i="18"/>
  <c r="E15" i="18"/>
  <c r="E16" i="18"/>
  <c r="E17" i="18"/>
  <c r="D20" i="18"/>
  <c r="I20" i="18" s="1"/>
  <c r="J20" i="18" s="1"/>
  <c r="C20" i="18"/>
  <c r="H4" i="22"/>
  <c r="H9" i="22" s="1"/>
  <c r="C9" i="22"/>
  <c r="G20" i="18" l="1"/>
  <c r="H20" i="18" s="1"/>
  <c r="H8" i="22"/>
  <c r="H10" i="22"/>
  <c r="C10" i="22"/>
  <c r="A4" i="18"/>
  <c r="D140" i="21"/>
  <c r="E138" i="21"/>
  <c r="E143" i="21" s="1"/>
  <c r="F138" i="21"/>
  <c r="F143" i="21" s="1"/>
  <c r="G138" i="21"/>
  <c r="G143" i="21" s="1"/>
  <c r="D138" i="21"/>
  <c r="G132" i="21"/>
  <c r="G136" i="21" s="1"/>
  <c r="F132" i="21"/>
  <c r="F136" i="21" s="1"/>
  <c r="E132" i="21"/>
  <c r="E136" i="21" s="1"/>
  <c r="D132" i="21"/>
  <c r="D136" i="21" s="1"/>
  <c r="D128" i="21"/>
  <c r="D129" i="21" s="1"/>
  <c r="G126" i="21"/>
  <c r="F126" i="21"/>
  <c r="E126" i="21"/>
  <c r="E127" i="21" s="1"/>
  <c r="D126" i="21"/>
  <c r="G125" i="21"/>
  <c r="G127" i="21" s="1"/>
  <c r="F125" i="21"/>
  <c r="F127" i="21" s="1"/>
  <c r="D125" i="21"/>
  <c r="G117" i="21"/>
  <c r="F117" i="21"/>
  <c r="E117" i="21"/>
  <c r="D106" i="21"/>
  <c r="E101" i="21" s="1"/>
  <c r="D103" i="21"/>
  <c r="D105" i="21" s="1"/>
  <c r="D91" i="21"/>
  <c r="E84" i="21" s="1"/>
  <c r="G99" i="21"/>
  <c r="F99" i="21"/>
  <c r="E99" i="21"/>
  <c r="D99" i="21"/>
  <c r="G98" i="21"/>
  <c r="F98" i="21"/>
  <c r="E98" i="21"/>
  <c r="D98" i="21"/>
  <c r="G97" i="21"/>
  <c r="F97" i="21"/>
  <c r="E97" i="21"/>
  <c r="D97" i="21"/>
  <c r="G88" i="21"/>
  <c r="G90" i="21" s="1"/>
  <c r="F88" i="21"/>
  <c r="F90" i="21" s="1"/>
  <c r="E88" i="21"/>
  <c r="E90" i="21" s="1"/>
  <c r="D77" i="21"/>
  <c r="D81" i="21" s="1"/>
  <c r="E73" i="21" s="1"/>
  <c r="D66" i="21"/>
  <c r="D69" i="21" s="1"/>
  <c r="E63" i="21" s="1"/>
  <c r="D54" i="21"/>
  <c r="D57" i="21" s="1"/>
  <c r="D58" i="21" s="1"/>
  <c r="D51" i="21"/>
  <c r="D43" i="21"/>
  <c r="D45" i="21" s="1"/>
  <c r="G33" i="21"/>
  <c r="F33" i="21"/>
  <c r="E33" i="21"/>
  <c r="D33" i="21"/>
  <c r="G31" i="21"/>
  <c r="F31" i="21"/>
  <c r="E31" i="21"/>
  <c r="D31" i="21"/>
  <c r="G28" i="21"/>
  <c r="F28" i="21"/>
  <c r="E28" i="21"/>
  <c r="G27" i="21"/>
  <c r="F27" i="21"/>
  <c r="E27" i="21"/>
  <c r="E32" i="21" s="1"/>
  <c r="D27" i="21"/>
  <c r="D32" i="21" s="1"/>
  <c r="D20" i="1"/>
  <c r="C11" i="22" l="1"/>
  <c r="F34" i="21"/>
  <c r="H11" i="22"/>
  <c r="K20" i="18"/>
  <c r="E34" i="21"/>
  <c r="D120" i="21"/>
  <c r="D34" i="21"/>
  <c r="D139" i="21"/>
  <c r="D118" i="21"/>
  <c r="E91" i="21"/>
  <c r="F84" i="21" s="1"/>
  <c r="F91" i="21" s="1"/>
  <c r="G84" i="21" s="1"/>
  <c r="G91" i="21" s="1"/>
  <c r="G34" i="21"/>
  <c r="D7" i="21"/>
  <c r="D46" i="21"/>
  <c r="E40" i="21" s="1"/>
  <c r="D131" i="21"/>
  <c r="E103" i="21"/>
  <c r="E106" i="21"/>
  <c r="F101" i="21" s="1"/>
  <c r="E77" i="21"/>
  <c r="E80" i="21" s="1"/>
  <c r="D80" i="21"/>
  <c r="E66" i="21"/>
  <c r="E68" i="21" s="1"/>
  <c r="D68" i="21"/>
  <c r="D59" i="21"/>
  <c r="D55" i="21"/>
  <c r="D8" i="21" s="1"/>
  <c r="D9" i="21" s="1"/>
  <c r="F32" i="21"/>
  <c r="G32" i="21"/>
  <c r="D135" i="21" l="1"/>
  <c r="E43" i="21"/>
  <c r="E46" i="21" s="1"/>
  <c r="F43" i="21" s="1"/>
  <c r="F46" i="21" s="1"/>
  <c r="G40" i="21" s="1"/>
  <c r="F106" i="21"/>
  <c r="G101" i="21" s="1"/>
  <c r="F103" i="21"/>
  <c r="D17" i="21"/>
  <c r="D108" i="21" s="1"/>
  <c r="D142" i="21" s="1"/>
  <c r="E7" i="21"/>
  <c r="E81" i="21"/>
  <c r="F73" i="21" s="1"/>
  <c r="E69" i="21"/>
  <c r="F63" i="21" s="1"/>
  <c r="D60" i="21"/>
  <c r="E49" i="21"/>
  <c r="E45" i="21" l="1"/>
  <c r="D35" i="21"/>
  <c r="D36" i="21"/>
  <c r="F105" i="21"/>
  <c r="G103" i="21"/>
  <c r="G106" i="21"/>
  <c r="F77" i="21"/>
  <c r="F80" i="21" s="1"/>
  <c r="F66" i="21"/>
  <c r="F68" i="21" s="1"/>
  <c r="G43" i="21"/>
  <c r="G46" i="21" s="1"/>
  <c r="E54" i="21"/>
  <c r="E59" i="21" s="1"/>
  <c r="E51" i="21"/>
  <c r="F45" i="21"/>
  <c r="E120" i="21" l="1"/>
  <c r="E128" i="21"/>
  <c r="E129" i="21" s="1"/>
  <c r="E130" i="21"/>
  <c r="E118" i="21"/>
  <c r="G105" i="21"/>
  <c r="G7" i="21"/>
  <c r="F81" i="21"/>
  <c r="G73" i="21" s="1"/>
  <c r="F69" i="21"/>
  <c r="G63" i="21" s="1"/>
  <c r="F49" i="21"/>
  <c r="E60" i="21"/>
  <c r="E57" i="21"/>
  <c r="E58" i="21" s="1"/>
  <c r="E55" i="21"/>
  <c r="G45" i="21"/>
  <c r="E131" i="21" l="1"/>
  <c r="E9" i="21"/>
  <c r="E140" i="21"/>
  <c r="G77" i="21"/>
  <c r="G80" i="21" s="1"/>
  <c r="G66" i="21"/>
  <c r="G68" i="21" s="1"/>
  <c r="F51" i="21"/>
  <c r="F54" i="21"/>
  <c r="F59" i="21"/>
  <c r="E135" i="21" l="1"/>
  <c r="E142" i="21"/>
  <c r="E17" i="21"/>
  <c r="E11" i="21"/>
  <c r="F120" i="21"/>
  <c r="F121" i="21"/>
  <c r="F128" i="21" s="1"/>
  <c r="F129" i="21" s="1"/>
  <c r="F118" i="21"/>
  <c r="F130" i="21"/>
  <c r="G81" i="21"/>
  <c r="G69" i="21"/>
  <c r="F60" i="21"/>
  <c r="G49" i="21"/>
  <c r="F57" i="21"/>
  <c r="F58" i="21" s="1"/>
  <c r="F55" i="21"/>
  <c r="E35" i="21" l="1"/>
  <c r="E36" i="21"/>
  <c r="F131" i="21"/>
  <c r="F142" i="21" s="1"/>
  <c r="F140" i="21"/>
  <c r="F144" i="21" s="1"/>
  <c r="F9" i="21"/>
  <c r="F135" i="21"/>
  <c r="G51" i="21"/>
  <c r="G54" i="21"/>
  <c r="F17" i="21" l="1"/>
  <c r="F108" i="21" s="1"/>
  <c r="F11" i="21"/>
  <c r="G120" i="21"/>
  <c r="G121" i="21"/>
  <c r="G128" i="21" s="1"/>
  <c r="G129" i="21" s="1"/>
  <c r="D19" i="18" s="1"/>
  <c r="J19" i="18" s="1"/>
  <c r="G118" i="21"/>
  <c r="C19" i="18" s="1"/>
  <c r="H19" i="18" s="1"/>
  <c r="G130" i="21"/>
  <c r="G131" i="21" s="1"/>
  <c r="G142" i="21" s="1"/>
  <c r="D12" i="18" s="1"/>
  <c r="G57" i="21"/>
  <c r="G58" i="21" s="1"/>
  <c r="G55" i="21"/>
  <c r="G59" i="21"/>
  <c r="G60" i="21" s="1"/>
  <c r="F35" i="21" l="1"/>
  <c r="F36" i="21"/>
  <c r="G8" i="21"/>
  <c r="G9" i="21" s="1"/>
  <c r="G135" i="21"/>
  <c r="G140" i="21"/>
  <c r="G144" i="21" s="1"/>
  <c r="G11" i="21" l="1"/>
  <c r="L19" i="18"/>
  <c r="K19" i="18"/>
  <c r="G17" i="21"/>
  <c r="G108" i="21" s="1"/>
  <c r="G36" i="21"/>
  <c r="G35" i="21"/>
  <c r="G21" i="18" l="1"/>
  <c r="H21" i="18" l="1"/>
  <c r="K21" i="18"/>
  <c r="D133" i="21"/>
  <c r="D19" i="1"/>
  <c r="K17" i="1"/>
  <c r="D17" i="1" l="1"/>
  <c r="J19" i="1"/>
  <c r="L17" i="1" l="1"/>
  <c r="M17" i="1" s="1"/>
  <c r="L19" i="1"/>
  <c r="M19" i="1" s="1"/>
  <c r="L18" i="1"/>
  <c r="M18" i="1" s="1"/>
  <c r="L14" i="1"/>
  <c r="M14" i="1" s="1"/>
  <c r="L15" i="1"/>
  <c r="M15" i="1" s="1"/>
  <c r="L20" i="1"/>
  <c r="M20" i="1" s="1"/>
  <c r="E139" i="21"/>
  <c r="E148" i="21" s="1"/>
  <c r="D148" i="21"/>
  <c r="D144" i="21" l="1"/>
  <c r="D145" i="21"/>
  <c r="E133" i="21"/>
  <c r="D146" i="21" l="1"/>
  <c r="D147" i="21"/>
  <c r="D143" i="21" l="1"/>
  <c r="C14" i="18" l="1"/>
  <c r="G14" i="18" s="1"/>
  <c r="H14" i="18" l="1"/>
  <c r="K14" i="18"/>
  <c r="E144" i="21" l="1"/>
  <c r="E145" i="21"/>
  <c r="E134" i="21" l="1"/>
  <c r="E141" i="21" s="1"/>
  <c r="D130" i="21"/>
  <c r="D134" i="21" s="1"/>
  <c r="F134" i="21" l="1"/>
  <c r="E147" i="21"/>
  <c r="E146" i="21"/>
  <c r="F139" i="21"/>
  <c r="F148" i="21" s="1"/>
  <c r="G139" i="21"/>
  <c r="G148" i="21" s="1"/>
  <c r="C16" i="18" l="1"/>
  <c r="G16" i="18" s="1"/>
  <c r="D16" i="18"/>
  <c r="I16" i="18" s="1"/>
  <c r="F145" i="21"/>
  <c r="C13" i="18"/>
  <c r="G13" i="18" s="1"/>
  <c r="G133" i="21"/>
  <c r="G134" i="21"/>
  <c r="F133" i="21"/>
  <c r="F141" i="21" s="1"/>
  <c r="J16" i="18" l="1"/>
  <c r="G141" i="21"/>
  <c r="D11" i="18" s="1"/>
  <c r="L16" i="18"/>
  <c r="K13" i="18"/>
  <c r="H13" i="18"/>
  <c r="H16" i="18"/>
  <c r="K16" i="18"/>
  <c r="F146" i="21"/>
  <c r="F147" i="21"/>
  <c r="C15" i="18"/>
  <c r="G15" i="18" s="1"/>
  <c r="G145" i="21"/>
  <c r="D15" i="18" s="1"/>
  <c r="I15" i="18" s="1"/>
  <c r="J15" i="18" s="1"/>
  <c r="D14" i="18"/>
  <c r="I14" i="18" s="1"/>
  <c r="J14" i="18" s="1"/>
  <c r="E149" i="21"/>
  <c r="G12" i="18"/>
  <c r="C17" i="18"/>
  <c r="G17" i="18" s="1"/>
  <c r="D153" i="21"/>
  <c r="I21" i="18" s="1"/>
  <c r="J21" i="18" l="1"/>
  <c r="L21" i="18"/>
  <c r="H17" i="18"/>
  <c r="K12" i="18"/>
  <c r="H12" i="18"/>
  <c r="H15" i="18"/>
  <c r="K15" i="18"/>
  <c r="L14" i="18"/>
  <c r="K17" i="18"/>
  <c r="L15" i="18"/>
  <c r="G146" i="21"/>
  <c r="D17" i="18" s="1"/>
  <c r="I17" i="18" s="1"/>
  <c r="G147" i="21"/>
  <c r="D18" i="18" s="1"/>
  <c r="I18" i="18" s="1"/>
  <c r="J18" i="18" s="1"/>
  <c r="I12" i="18"/>
  <c r="J12" i="18" s="1"/>
  <c r="D13" i="18"/>
  <c r="I13" i="18" s="1"/>
  <c r="J13" i="18" s="1"/>
  <c r="I11" i="18"/>
  <c r="J11" i="18" l="1"/>
  <c r="J17" i="18"/>
  <c r="L11" i="18"/>
  <c r="L13" i="18"/>
  <c r="L12" i="18"/>
  <c r="L18" i="18"/>
  <c r="L17" i="18"/>
  <c r="C18" i="18"/>
  <c r="G18" i="18" s="1"/>
  <c r="G149" i="21"/>
  <c r="F149" i="21"/>
  <c r="E150" i="21" s="1"/>
  <c r="D151" i="21" s="1"/>
  <c r="D152" i="21" s="1"/>
  <c r="D22" i="18" s="1"/>
  <c r="I22" i="18" s="1"/>
  <c r="B7" i="18" l="1"/>
  <c r="K18" i="18"/>
  <c r="J22" i="18"/>
  <c r="L22" i="18"/>
  <c r="C8" i="18"/>
  <c r="H18" i="18"/>
  <c r="C11" i="18"/>
  <c r="G11" i="18" s="1"/>
  <c r="B6" i="18" l="1"/>
  <c r="B8" i="18" s="1"/>
  <c r="E8" i="18" s="1"/>
  <c r="H11" i="18"/>
  <c r="K11" i="18"/>
</calcChain>
</file>

<file path=xl/sharedStrings.xml><?xml version="1.0" encoding="utf-8"?>
<sst xmlns="http://schemas.openxmlformats.org/spreadsheetml/2006/main" count="1193" uniqueCount="983">
  <si>
    <t>Показатель</t>
  </si>
  <si>
    <t>Формула</t>
  </si>
  <si>
    <t>Отрасль (ОКЭД)</t>
  </si>
  <si>
    <t>Рыбоводство</t>
  </si>
  <si>
    <t>WACC (текущая)</t>
  </si>
  <si>
    <t xml:space="preserve">Вид деятельности </t>
  </si>
  <si>
    <t>Вид деят  - окед</t>
  </si>
  <si>
    <t xml:space="preserve">Название и код </t>
  </si>
  <si>
    <t xml:space="preserve">Коэффициент текущей ликвидности </t>
  </si>
  <si>
    <t xml:space="preserve">Коэффициент обеспеченности собственными оборотными средствами </t>
  </si>
  <si>
    <t xml:space="preserve">Коэффициент обеспеченности обязательств активами </t>
  </si>
  <si>
    <t>oked3</t>
  </si>
  <si>
    <t>Выращивание одно- или двухлетних культур</t>
  </si>
  <si>
    <t>011</t>
  </si>
  <si>
    <t>011 Выращивание одно- или двухлетних культур</t>
  </si>
  <si>
    <t>Выращивание многолетних культур</t>
  </si>
  <si>
    <t>012</t>
  </si>
  <si>
    <t>012 Выращивание многолетних культур</t>
  </si>
  <si>
    <t>Производство продукции питомников</t>
  </si>
  <si>
    <t>013</t>
  </si>
  <si>
    <t>013 Производство продукции питомников</t>
  </si>
  <si>
    <t>Животноводство</t>
  </si>
  <si>
    <t>014</t>
  </si>
  <si>
    <t>014 Животноводство</t>
  </si>
  <si>
    <t>Смешанное сельское хозяйство</t>
  </si>
  <si>
    <t>015</t>
  </si>
  <si>
    <t>015 Смешанное сельское хозяйство</t>
  </si>
  <si>
    <t>Деятельность, способствующая выращиванию сельскохозяйственных культур и разведению животных</t>
  </si>
  <si>
    <t>016</t>
  </si>
  <si>
    <t>016 Деятельность, способствующая выращиванию сельскохозяйственных культур и разведению животных</t>
  </si>
  <si>
    <t>Охота и отлов, включая предоставление услуг в этих областях</t>
  </si>
  <si>
    <t>017</t>
  </si>
  <si>
    <t>017 Охота и отлов, включая предоставление услуг в этих областях</t>
  </si>
  <si>
    <t>Лесоводство и прочая лесохозяйственная деятельность</t>
  </si>
  <si>
    <t>021</t>
  </si>
  <si>
    <t>021 Лесоводство и прочая лесохозяйственная деятельность</t>
  </si>
  <si>
    <t>Лесозаготовки</t>
  </si>
  <si>
    <t>022</t>
  </si>
  <si>
    <t>022 Лесозаготовки</t>
  </si>
  <si>
    <t>Услуги, связанные с лесоводством и лесозаготовками</t>
  </si>
  <si>
    <t>024</t>
  </si>
  <si>
    <t>024 Услуги, связанные с лесоводством и лесозаготовками</t>
  </si>
  <si>
    <t>032</t>
  </si>
  <si>
    <t>032 Рыбоводство</t>
  </si>
  <si>
    <t>Добыча нефти</t>
  </si>
  <si>
    <t>061</t>
  </si>
  <si>
    <t>061 Добыча нефти</t>
  </si>
  <si>
    <t>Добыча камня, песка и глины</t>
  </si>
  <si>
    <t>081</t>
  </si>
  <si>
    <t>081 Добыча камня, песка и глины</t>
  </si>
  <si>
    <t>Переработка и консервирование мяса и производство мясной и мясосодержащей продукции</t>
  </si>
  <si>
    <t>101</t>
  </si>
  <si>
    <t>101 Переработка и консервирование мяса и производство мясной и мясосодержащей продукции</t>
  </si>
  <si>
    <t>Переработка и консервирование рыбы, ракообразных и моллюсков</t>
  </si>
  <si>
    <t>102</t>
  </si>
  <si>
    <t>102 Переработка и консервирование рыбы, ракообразных и моллюсков</t>
  </si>
  <si>
    <t>Переработка и консервирование фруктов и овощей</t>
  </si>
  <si>
    <t>103</t>
  </si>
  <si>
    <t>103 Переработка и консервирование фруктов и овощей</t>
  </si>
  <si>
    <t>Производство растительных и животных масел и жиров</t>
  </si>
  <si>
    <t>104</t>
  </si>
  <si>
    <t>104 Производство растительных и животных масел и жиров</t>
  </si>
  <si>
    <t>Производство молочных продуктов</t>
  </si>
  <si>
    <t>105</t>
  </si>
  <si>
    <t>105 Производство молочных продуктов</t>
  </si>
  <si>
    <t>Производство мукомольно-крупяных продуктов, крахмалов и крахмальных продуктов</t>
  </si>
  <si>
    <t>106</t>
  </si>
  <si>
    <t>106 Производство мукомольно-крупяных продуктов, крахмалов и крахмальных продуктов</t>
  </si>
  <si>
    <t>Производство хлебобулочных, макаронных и мучных кондитерских изделий</t>
  </si>
  <si>
    <t>107</t>
  </si>
  <si>
    <t>107 Производство хлебобулочных, макаронных и мучных кондитерских изделий</t>
  </si>
  <si>
    <t>Производство прочих продуктов питания</t>
  </si>
  <si>
    <t>108</t>
  </si>
  <si>
    <t>108 Производство прочих продуктов питания</t>
  </si>
  <si>
    <t>Производство готовых кормов для животных</t>
  </si>
  <si>
    <t>109</t>
  </si>
  <si>
    <t>109 Производство готовых кормов для животных</t>
  </si>
  <si>
    <t>Производство напитков</t>
  </si>
  <si>
    <t>110</t>
  </si>
  <si>
    <t>110 Производство напитков</t>
  </si>
  <si>
    <t>Производство табачных изделий</t>
  </si>
  <si>
    <t>120</t>
  </si>
  <si>
    <t>120 Производство табачных изделий</t>
  </si>
  <si>
    <t>Подготовка и прядение текстильных волокон</t>
  </si>
  <si>
    <t>131</t>
  </si>
  <si>
    <t>131 Подготовка и прядение текстильных волокон</t>
  </si>
  <si>
    <t>Ткацкое производство</t>
  </si>
  <si>
    <t>132</t>
  </si>
  <si>
    <t>132 Ткацкое производство</t>
  </si>
  <si>
    <t>Производство прочих текстильных изделий, кроме одежды</t>
  </si>
  <si>
    <t>139</t>
  </si>
  <si>
    <t>139 Производство прочих текстильных изделий, кроме одежды</t>
  </si>
  <si>
    <t>Производство одежды, кроме одежды из меха</t>
  </si>
  <si>
    <t>141</t>
  </si>
  <si>
    <t>141 Производство одежды, кроме одежды из меха</t>
  </si>
  <si>
    <t>Производство меховых изделий</t>
  </si>
  <si>
    <t>142</t>
  </si>
  <si>
    <t>142 Производство меховых изделий</t>
  </si>
  <si>
    <t>Производство вязаной и трикотажной одежды</t>
  </si>
  <si>
    <t>143</t>
  </si>
  <si>
    <t>143 Производство вязаной и трикотажной одежды</t>
  </si>
  <si>
    <t>Дубление и выделка кожи; выделка и крашение меха; производство дорожных принадлежностей, шорно-седельных изделий</t>
  </si>
  <si>
    <t>151</t>
  </si>
  <si>
    <t>151 Дубление и выделка кожи; выделка и крашение меха; производство дорожных принадлежностей, шорно-седельных изделий</t>
  </si>
  <si>
    <t>Производство обуви</t>
  </si>
  <si>
    <t>152</t>
  </si>
  <si>
    <t>152 Производство обуви</t>
  </si>
  <si>
    <t>Распиловка, строгание и пропитка древесины</t>
  </si>
  <si>
    <t>161</t>
  </si>
  <si>
    <t>161 Распиловка, строгание и пропитка древесины</t>
  </si>
  <si>
    <t>Производство изделий из древесины, пробки, соломки и материалов для плетения</t>
  </si>
  <si>
    <t>162</t>
  </si>
  <si>
    <t>162 Производство изделий из древесины, пробки, соломки и материалов для плетения</t>
  </si>
  <si>
    <t>Производство целлюлозы, древесной массы, бумаги и картона</t>
  </si>
  <si>
    <t>171</t>
  </si>
  <si>
    <t>171 Производство целлюлозы, древесной массы, бумаги и картона</t>
  </si>
  <si>
    <t>Производство изделий из бумаги и картона</t>
  </si>
  <si>
    <t>172</t>
  </si>
  <si>
    <t>172 Производство изделий из бумаги и картона</t>
  </si>
  <si>
    <t>Полиграфическая деятельность и предоставление услуг в данной области</t>
  </si>
  <si>
    <t>181</t>
  </si>
  <si>
    <t>181 Полиграфическая деятельность и предоставление услуг в данной области</t>
  </si>
  <si>
    <t>Производство продуктов нефтепереработки, брикетов из торфа и угля</t>
  </si>
  <si>
    <t>192</t>
  </si>
  <si>
    <t>192 Производство продуктов нефтепереработки, брикетов из торфа и угля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</si>
  <si>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</si>
  <si>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201</t>
  </si>
  <si>
    <t>201 Производство основных химических веществ, удобрений и азотных соединений, пластмасс и синтетического каучука в первичных формах</t>
  </si>
  <si>
    <t>Производство пестицидов и прочих агрохимических продуктов</t>
  </si>
  <si>
    <t>202</t>
  </si>
  <si>
    <t>202 Производство пестицидов и прочих агрохимических продуктов</t>
  </si>
  <si>
    <t>Производство красок, лаков и аналогичных покрытий, типографских красок и мастик</t>
  </si>
  <si>
    <t>203</t>
  </si>
  <si>
    <t>203 Производство красок, лаков и аналогичных покрытий, типографских красок и мастик</t>
  </si>
  <si>
    <t>Производство мыла и моющих, чистящих и полирующих средств, парфюмерных и косметических средств</t>
  </si>
  <si>
    <t>204</t>
  </si>
  <si>
    <t>204 Производство мыла и моющих, чистящих и полирующих средств, парфюмерных и косметических средств</t>
  </si>
  <si>
    <t>Производство различных химических продуктов, не включенных в другие группировки</t>
  </si>
  <si>
    <t>205</t>
  </si>
  <si>
    <t>205 Производство различных химических продуктов, не включенных в другие группировки</t>
  </si>
  <si>
    <t>Производство искусственных и синтетических волокон</t>
  </si>
  <si>
    <t>206</t>
  </si>
  <si>
    <t>206 Производство искусственных и синтетических волокон</t>
  </si>
  <si>
    <t>Производство основных фармацевтических продуктов</t>
  </si>
  <si>
    <t>211</t>
  </si>
  <si>
    <t>211 Производство основных фармацевтических продуктов</t>
  </si>
  <si>
    <t>Производство фармацевтических препаратов и медицинских материалов</t>
  </si>
  <si>
    <t>212</t>
  </si>
  <si>
    <t>212 Производство фармацевтических препаратов и медицинских материалов</t>
  </si>
  <si>
    <t>Производство резиновых изделий</t>
  </si>
  <si>
    <t>221</t>
  </si>
  <si>
    <t>221 Производство резиновых изделий</t>
  </si>
  <si>
    <t>Производство пластмассовых изделий</t>
  </si>
  <si>
    <t>222</t>
  </si>
  <si>
    <t>222 Производство пластмассовых изделий</t>
  </si>
  <si>
    <t>Производство стекла и изделий из стекла</t>
  </si>
  <si>
    <t>231</t>
  </si>
  <si>
    <t>231 Производство стекла и изделий из стекла</t>
  </si>
  <si>
    <t>Производство строительных материалов из глины</t>
  </si>
  <si>
    <t>233</t>
  </si>
  <si>
    <t>233 Производство строительных материалов из глины</t>
  </si>
  <si>
    <t>Производство прочих фарфоровых и керамических изделий</t>
  </si>
  <si>
    <t>234</t>
  </si>
  <si>
    <t>234 Производство прочих фарфоровых и керамических изделий</t>
  </si>
  <si>
    <t>Производство цемента, извести и строительного гипса</t>
  </si>
  <si>
    <t>235</t>
  </si>
  <si>
    <t>235 Производство цемента, извести и строительного гипса</t>
  </si>
  <si>
    <t>Производство изделий из бетона, цемента и строительного гипса</t>
  </si>
  <si>
    <t>236</t>
  </si>
  <si>
    <t>236 Производство изделий из бетона, цемента и строительного гипса</t>
  </si>
  <si>
    <t>Резка, обработка и отделка камня</t>
  </si>
  <si>
    <t>237</t>
  </si>
  <si>
    <t>237 Резка, обработка и отделка камня</t>
  </si>
  <si>
    <t>Производство абразивных изделий и других неметаллических минеральных продуктов</t>
  </si>
  <si>
    <t>239</t>
  </si>
  <si>
    <t>239 Производство абразивных изделий и других неметаллических минеральных продуктов</t>
  </si>
  <si>
    <t>Производство чугуна, стали и ферросплавов</t>
  </si>
  <si>
    <t>241</t>
  </si>
  <si>
    <t>241 Производство чугуна, стали и ферросплавов</t>
  </si>
  <si>
    <t>Производство труб, трубопроводов, профилей, фитингов из стали</t>
  </si>
  <si>
    <t>242</t>
  </si>
  <si>
    <t>242 Производство труб, трубопроводов, профилей, фитингов из стали</t>
  </si>
  <si>
    <t>Производство прочих стальных изделий путем первичной обработки</t>
  </si>
  <si>
    <t>243</t>
  </si>
  <si>
    <t>243 Производство прочих стальных изделий путем первичной обработки</t>
  </si>
  <si>
    <t>Производство основных благородных и цветных металлов</t>
  </si>
  <si>
    <t>244</t>
  </si>
  <si>
    <t>244 Производство основных благородных и цветных металлов</t>
  </si>
  <si>
    <t>Литье металлов</t>
  </si>
  <si>
    <t>245</t>
  </si>
  <si>
    <t>245 Литье металлов</t>
  </si>
  <si>
    <t>Производство строительных металлических конструкций и изделий</t>
  </si>
  <si>
    <t>251</t>
  </si>
  <si>
    <t>251 Производство строительных металлических конструкций и изделий</t>
  </si>
  <si>
    <t>Производство радиаторов, котлов центрального отопления, металлических цистерн, резервуаров, контейнеров</t>
  </si>
  <si>
    <t>252</t>
  </si>
  <si>
    <t>252 Производство радиаторов, котлов центрального отопления, металлических цистерн, резервуаров, контейнеров</t>
  </si>
  <si>
    <t>Производство паровых и водогрейных котлов, кроме котлов центрального отопления</t>
  </si>
  <si>
    <t>253</t>
  </si>
  <si>
    <t>253 Производство паровых и водогрейных котлов, кроме котлов центрального отопления</t>
  </si>
  <si>
    <t>Производство оружия и боеприпасов</t>
  </si>
  <si>
    <t>254</t>
  </si>
  <si>
    <t>254 Производство оружия и боеприпасов</t>
  </si>
  <si>
    <t>Ковка, прессование, штамповка, профилирование металла; производство изделий методом порошковой металлургии</t>
  </si>
  <si>
    <t>255</t>
  </si>
  <si>
    <t>255 Ковка, прессование, штамповка, профилирование металла; производство изделий методом порошковой металлургии</t>
  </si>
  <si>
    <t>Обработка металлов и нанесение покрытий на металлы; основные технологические процессы машиностроения</t>
  </si>
  <si>
    <t>256</t>
  </si>
  <si>
    <t>256 Обработка металлов и нанесение покрытий на металлы; основные технологические процессы машиностроения</t>
  </si>
  <si>
    <t>Производство ножевых изделий, инструментов и замочно-скобяных изделий</t>
  </si>
  <si>
    <t>257</t>
  </si>
  <si>
    <t>257 Производство ножевых изделий, инструментов и замочно-скобяных изделий</t>
  </si>
  <si>
    <t>Производство прочих готовых металлических изделий</t>
  </si>
  <si>
    <t>259</t>
  </si>
  <si>
    <t>259 Производство прочих готовых металлических изделий</t>
  </si>
  <si>
    <t>Производство электронных элементов и плат</t>
  </si>
  <si>
    <t>261</t>
  </si>
  <si>
    <t>261 Производство электронных элементов и плат</t>
  </si>
  <si>
    <t>Производство компьютеров и периферийного оборудования</t>
  </si>
  <si>
    <t>262</t>
  </si>
  <si>
    <t>262 Производство компьютеров и периферийного оборудования</t>
  </si>
  <si>
    <t>Производство коммуникационного оборудования</t>
  </si>
  <si>
    <t>263</t>
  </si>
  <si>
    <t>263 Производство коммуникационного оборудования</t>
  </si>
  <si>
    <t>Производство электронной бытовой техники</t>
  </si>
  <si>
    <t>264</t>
  </si>
  <si>
    <t>264 Производство электронной бытовой техники</t>
  </si>
  <si>
    <t>Производство инструментов и приборов для измерения, тестирования и навигации; производство часов</t>
  </si>
  <si>
    <t>265</t>
  </si>
  <si>
    <t>265 Производство инструментов и приборов для измерения, тестирования и навигации; производство часов</t>
  </si>
  <si>
    <t>Производство облучающего, электромедицинского и электротерапевтического оборудования</t>
  </si>
  <si>
    <t>266</t>
  </si>
  <si>
    <t>266 Производство облучающего, электромедицинского и электротерапевтического оборудования</t>
  </si>
  <si>
    <t>Производство оптических приборов, фото- и кинооборудования</t>
  </si>
  <si>
    <t>267</t>
  </si>
  <si>
    <t>267 Производство оптических приборов, фото- и кинооборудования</t>
  </si>
  <si>
    <t>Производство электродвигателей, генераторов, трансформаторов, электрораспределительной и регулирующей аппаратуры</t>
  </si>
  <si>
    <t>271</t>
  </si>
  <si>
    <t>271 Производство электродвигателей, генераторов, трансформаторов, электрораспределительной и регулирующей аппаратуры</t>
  </si>
  <si>
    <t>Производство электропроводки и электромонтажных устройств</t>
  </si>
  <si>
    <t>273</t>
  </si>
  <si>
    <t>273 Производство электропроводки и электромонтажных устройств</t>
  </si>
  <si>
    <t>Производство электроосветительного оборудования</t>
  </si>
  <si>
    <t>274</t>
  </si>
  <si>
    <t>274 Производство электроосветительного оборудования</t>
  </si>
  <si>
    <t>Производство бытовой техники</t>
  </si>
  <si>
    <t>275</t>
  </si>
  <si>
    <t>275 Производство бытовой техники</t>
  </si>
  <si>
    <t>Производство прочего электрооборудования</t>
  </si>
  <si>
    <t>279</t>
  </si>
  <si>
    <t>279 Производство прочего электрооборудования</t>
  </si>
  <si>
    <t>Производство оборудования общего назначения</t>
  </si>
  <si>
    <t>281</t>
  </si>
  <si>
    <t>281 Производство оборудования общего назначения</t>
  </si>
  <si>
    <t>Производство отдельных машин и оборудования общего назначения</t>
  </si>
  <si>
    <t>282</t>
  </si>
  <si>
    <t>282 Производство отдельных машин и оборудования общего назначения</t>
  </si>
  <si>
    <t>Производство машин и оборудования для сельского и лесного хозяйства</t>
  </si>
  <si>
    <t>283</t>
  </si>
  <si>
    <t>283 Производство машин и оборудования для сельского и лесного хозяйства</t>
  </si>
  <si>
    <t>Производство станков</t>
  </si>
  <si>
    <t>284</t>
  </si>
  <si>
    <t>284 Производство станков</t>
  </si>
  <si>
    <t>Производство отдельных машин и оборудования специального назначения</t>
  </si>
  <si>
    <t>289</t>
  </si>
  <si>
    <t>289 Производство отдельных машин и оборудования специального назначения</t>
  </si>
  <si>
    <t>Производство автомобилей</t>
  </si>
  <si>
    <t>291</t>
  </si>
  <si>
    <t>291 Производство автомобилей</t>
  </si>
  <si>
    <t>Производство кузовов для автомобилей; производство прицепов и полуприцепов</t>
  </si>
  <si>
    <t>292</t>
  </si>
  <si>
    <t>292 Производство кузовов для автомобилей; производство прицепов и полуприцепов</t>
  </si>
  <si>
    <t>Производство частей и принадлежностей автомобилей</t>
  </si>
  <si>
    <t>293</t>
  </si>
  <si>
    <t>293 Производство частей и принадлежностей автомобилей</t>
  </si>
  <si>
    <t>Производство железнодорожных локомотивов и подвижного состава</t>
  </si>
  <si>
    <t>302</t>
  </si>
  <si>
    <t>302 Производство железнодорожных локомотивов и подвижного состава</t>
  </si>
  <si>
    <t>Производство летательных аппаратов, оборудования для них</t>
  </si>
  <si>
    <t>303</t>
  </si>
  <si>
    <t>303 Производство летательных аппаратов, оборудования для них</t>
  </si>
  <si>
    <t>Производство военных боевых автомобилей</t>
  </si>
  <si>
    <t>304</t>
  </si>
  <si>
    <t>304 Производство военных боевых автомобилей</t>
  </si>
  <si>
    <t>Производство прочих транспортных средств и оборудования</t>
  </si>
  <si>
    <t>309</t>
  </si>
  <si>
    <t>309 Производство прочих транспортных средств и оборудования</t>
  </si>
  <si>
    <t>Производство мебели</t>
  </si>
  <si>
    <t>310</t>
  </si>
  <si>
    <t>310 Производство мебели</t>
  </si>
  <si>
    <t>Производство ювелирных изделий, бижутерии и аналогичных изделий</t>
  </si>
  <si>
    <t>321</t>
  </si>
  <si>
    <t>321 Производство ювелирных изделий, бижутерии и аналогичных изделий</t>
  </si>
  <si>
    <t>Производство музыкальных инструментов</t>
  </si>
  <si>
    <t>322</t>
  </si>
  <si>
    <t>322 Производство музыкальных инструментов</t>
  </si>
  <si>
    <t>Производство спортивных товаров</t>
  </si>
  <si>
    <t>323</t>
  </si>
  <si>
    <t>323 Производство спортивных товаров</t>
  </si>
  <si>
    <t>Производство игр и игрушек</t>
  </si>
  <si>
    <t>324</t>
  </si>
  <si>
    <t>324 Производство игр и игрушек</t>
  </si>
  <si>
    <t>Производство медицинских и стоматологических инструментов и принадлежностей</t>
  </si>
  <si>
    <t>325</t>
  </si>
  <si>
    <t>325 Производство медицинских и стоматологических инструментов и принадлежностей</t>
  </si>
  <si>
    <t>Производство различных изделий, не включенных в другие группировки</t>
  </si>
  <si>
    <t>329</t>
  </si>
  <si>
    <t>329 Производство различных изделий, не включенных в другие группировки</t>
  </si>
  <si>
    <t>Ремонт готовых металлических изделий, машин и оборудования</t>
  </si>
  <si>
    <t>331</t>
  </si>
  <si>
    <t>331 Ремонт готовых металлических изделий, машин и оборудования</t>
  </si>
  <si>
    <t>Монтаж, установка промышленных машин и оборудования</t>
  </si>
  <si>
    <t>332</t>
  </si>
  <si>
    <t>332 Монтаж, установка промышленных машин и оборудования</t>
  </si>
  <si>
    <t>Производство, передача и распределение электроэнергии</t>
  </si>
  <si>
    <t>351</t>
  </si>
  <si>
    <t>351 Производство, передача и распределение электроэнергии</t>
  </si>
  <si>
    <t>Производство и распределение газообразного топлива</t>
  </si>
  <si>
    <t>352</t>
  </si>
  <si>
    <t>352 Производство и распределение газообразного топлива</t>
  </si>
  <si>
    <t>Производство, передача, распределение и продажа пара и горячей воды; кондиционирование воздуха</t>
  </si>
  <si>
    <t>353</t>
  </si>
  <si>
    <t>353 Производство, передача, распределение и продажа пара и горячей воды; кондиционирование воздуха</t>
  </si>
  <si>
    <t>Сбор, обработка и распределение воды</t>
  </si>
  <si>
    <t>360</t>
  </si>
  <si>
    <t>360 Сбор, обработка и распределение воды</t>
  </si>
  <si>
    <t>Сбор и обработка сточных вод</t>
  </si>
  <si>
    <t>370</t>
  </si>
  <si>
    <t>370 Сбор и обработка сточных вод</t>
  </si>
  <si>
    <t>Сбор отходов</t>
  </si>
  <si>
    <t>381</t>
  </si>
  <si>
    <t>381 Сбор отходов</t>
  </si>
  <si>
    <t>Обработка, удаление и захоронение отходов</t>
  </si>
  <si>
    <t>382</t>
  </si>
  <si>
    <t>382 Обработка, удаление и захоронение отходов</t>
  </si>
  <si>
    <t>Деятельность по обработке вторичных материальных ресурсов</t>
  </si>
  <si>
    <t>383</t>
  </si>
  <si>
    <t>383 Деятельность по обработке вторичных материальных ресурсов</t>
  </si>
  <si>
    <t>Деятельность по ликвидации загрязнений и прочие услуги в области удаления отходов</t>
  </si>
  <si>
    <t>390</t>
  </si>
  <si>
    <t>390 Деятельность по ликвидации загрязнений и прочие услуги в области удаления отходов</t>
  </si>
  <si>
    <t>Реализация проектов, связанных со строительством зданий</t>
  </si>
  <si>
    <t>411</t>
  </si>
  <si>
    <t>411 Реализация проектов, связанных со строительством зданий</t>
  </si>
  <si>
    <t>Общее строительство зданий</t>
  </si>
  <si>
    <t>412</t>
  </si>
  <si>
    <t>412 Общее строительство зданий</t>
  </si>
  <si>
    <t>Строительство автомобильных и железных дорог</t>
  </si>
  <si>
    <t>421</t>
  </si>
  <si>
    <t>421 Строительство автомобильных и железных дорог</t>
  </si>
  <si>
    <t>Строительство распределительных инженерных сооружений</t>
  </si>
  <si>
    <t>422</t>
  </si>
  <si>
    <t>422 Строительство распределительных инженерных сооружений</t>
  </si>
  <si>
    <t>Строительство прочих инженерных сооружений</t>
  </si>
  <si>
    <t>429</t>
  </si>
  <si>
    <t>429 Строительство прочих инженерных сооружений</t>
  </si>
  <si>
    <t>Снос зданий и сооружений; подготовка строительного участка</t>
  </si>
  <si>
    <t>431</t>
  </si>
  <si>
    <t>431 Снос зданий и сооружений; подготовка строительного участка</t>
  </si>
  <si>
    <t>Монтаж и установка инженерного оборудования зданий и сооружений</t>
  </si>
  <si>
    <t>432</t>
  </si>
  <si>
    <t>432 Монтаж и установка инженерного оборудования зданий и сооружений</t>
  </si>
  <si>
    <t>Отделочные работы</t>
  </si>
  <si>
    <t>433</t>
  </si>
  <si>
    <t>433 Отделочные работы</t>
  </si>
  <si>
    <t>Прочие специальные строительные работы</t>
  </si>
  <si>
    <t>439</t>
  </si>
  <si>
    <t>439 Прочие специальные строительные работы</t>
  </si>
  <si>
    <t>Торговля автомобилями</t>
  </si>
  <si>
    <t>451</t>
  </si>
  <si>
    <t>451 Торговля автомобилями</t>
  </si>
  <si>
    <t>Техническое обслуживание и ремонт автомобилей</t>
  </si>
  <si>
    <t>452</t>
  </si>
  <si>
    <t>452 Техническое обслуживание и ремонт автомобилей</t>
  </si>
  <si>
    <t>Торговля автомобильными деталями, узлами и принадлежностями</t>
  </si>
  <si>
    <t>453</t>
  </si>
  <si>
    <t>453 Торговля автомобильными деталями, узлами и принадлежностями</t>
  </si>
  <si>
    <t>Торговля мотоциклами, их деталями, узлами и принадлежностями; техническое обслуживание и ремонт мотоциклов</t>
  </si>
  <si>
    <t>454</t>
  </si>
  <si>
    <t>454 Торговля мотоциклами, их деталями, узлами и принадлежностями; техническое обслуживание и ремонт мотоциклов</t>
  </si>
  <si>
    <t>Оптовая торговля за вознаграждение или на договорной основе</t>
  </si>
  <si>
    <t>461</t>
  </si>
  <si>
    <t>461 Оптовая торговля за вознаграждение или на договорной основе</t>
  </si>
  <si>
    <t>Оптовая торговля сельскохозяйственным сырьем и живыми животными</t>
  </si>
  <si>
    <t>462</t>
  </si>
  <si>
    <t>462 Оптовая торговля сельскохозяйственным сырьем и живыми животными</t>
  </si>
  <si>
    <t>Оптовая торговля продуктами питания, напитками и табачными изделиями</t>
  </si>
  <si>
    <t>463</t>
  </si>
  <si>
    <t>463 Оптовая торговля продуктами питания, напитками и табачными изделиями</t>
  </si>
  <si>
    <t>Оптовая торговля непродовольственными потребительскими товарами</t>
  </si>
  <si>
    <t>464</t>
  </si>
  <si>
    <t>464 Оптовая торговля непродовольственными потребительскими товарами</t>
  </si>
  <si>
    <t>Оптовая торговля компьютерами, программным обеспечением и коммуникационным оборудованием</t>
  </si>
  <si>
    <t>465</t>
  </si>
  <si>
    <t>465 Оптовая торговля компьютерами, программным обеспечением и коммуникационным оборудованием</t>
  </si>
  <si>
    <t>Оптовая торговля прочей техникой, оборудованием, деталями и принадлежностями к ним</t>
  </si>
  <si>
    <t>466</t>
  </si>
  <si>
    <t>466 Оптовая торговля прочей техникой, оборудованием, деталями и принадлежностями к ним</t>
  </si>
  <si>
    <t>Прочая специализированная оптовая торговля</t>
  </si>
  <si>
    <t>467</t>
  </si>
  <si>
    <t>467 Прочая специализированная оптовая торговля</t>
  </si>
  <si>
    <t>Неспециализированная оптовая торговля товарами</t>
  </si>
  <si>
    <t>469</t>
  </si>
  <si>
    <t>469 Неспециализированная оптовая торговля товарами</t>
  </si>
  <si>
    <t>Розничная торговля в неспециализированных магазинах</t>
  </si>
  <si>
    <t>471</t>
  </si>
  <si>
    <t>471 Розничная торговля в неспециализированных магазинах</t>
  </si>
  <si>
    <t>Розничная торговля продуктами питания, напитками и табачными изделиями в специализированных магазинах</t>
  </si>
  <si>
    <t>472</t>
  </si>
  <si>
    <t>472 Розничная торговля продуктами питания, напитками и табачными изделиями в специализированных магазинах</t>
  </si>
  <si>
    <t>Розничная торговля топливом в специализированных магазинах</t>
  </si>
  <si>
    <t>473</t>
  </si>
  <si>
    <t>473 Розничная торговля топливом в специализированных магазинах</t>
  </si>
  <si>
    <t>Розничная торговля компьютерами, программным обеспечением и коммуникационным оборудованием в специализированных магазинах</t>
  </si>
  <si>
    <t>474</t>
  </si>
  <si>
    <t>474 Розничная торговля компьютерами, программным обеспечением и коммуникационным оборудованием в специализированных магазинах</t>
  </si>
  <si>
    <t>Розничная торговля прочими бытовыми товарами в специализированных магазинах</t>
  </si>
  <si>
    <t>475</t>
  </si>
  <si>
    <t>475 Розничная торговля прочими бытовыми товарами в специализированных магазинах</t>
  </si>
  <si>
    <t>Розничная торговля товарами культурно-развлекательного характера в специализированных магазинах</t>
  </si>
  <si>
    <t>476</t>
  </si>
  <si>
    <t>476 Розничная торговля товарами культурно-развлекательного характера в специализированных магазинах</t>
  </si>
  <si>
    <t>Розничная торговля прочими товарами в специализированных магазинах, не включенными в другие группировки</t>
  </si>
  <si>
    <t>477</t>
  </si>
  <si>
    <t>477 Розничная торговля прочими товарами в специализированных магазинах, не включенными в другие группировки</t>
  </si>
  <si>
    <t>Розничная торговля в палатках, киосках и на рынках</t>
  </si>
  <si>
    <t>478</t>
  </si>
  <si>
    <t>478 Розничная торговля в палатках, киосках и на рынках</t>
  </si>
  <si>
    <t>Розничная торговля вне магазинов, палаток, киосков, рынков</t>
  </si>
  <si>
    <t>479</t>
  </si>
  <si>
    <t>479 Розничная торговля вне магазинов, палаток, киосков, рынков</t>
  </si>
  <si>
    <t>Деятельность пассажирского железнодорожного транспорта в междугородном и международном сообщениях</t>
  </si>
  <si>
    <t>491</t>
  </si>
  <si>
    <t>491 Деятельность пассажирского железнодорожного транспорта в междугородном и международном сообщениях</t>
  </si>
  <si>
    <t>Деятельность грузового железнодорожного транспорта</t>
  </si>
  <si>
    <t>492</t>
  </si>
  <si>
    <t>492 Деятельность грузового железнодорожного транспорта</t>
  </si>
  <si>
    <t>Деятельность прочего пассажирского сухопутного транспорта</t>
  </si>
  <si>
    <t>493</t>
  </si>
  <si>
    <t>493 Деятельность прочего пассажирского сухопутного транспорта</t>
  </si>
  <si>
    <t>Деятельность грузового автомобильного транспорта и предоставление услуг по переезду (перемещению)</t>
  </si>
  <si>
    <t>494</t>
  </si>
  <si>
    <t>494 Деятельность грузового автомобильного транспорта и предоставление услуг по переезду (перемещению)</t>
  </si>
  <si>
    <t>Деятельность трубопроводного транспорта</t>
  </si>
  <si>
    <t>495</t>
  </si>
  <si>
    <t>495 Деятельность трубопроводного транспорта</t>
  </si>
  <si>
    <t>Деятельность пассажирского воздушного транспорта</t>
  </si>
  <si>
    <t>511</t>
  </si>
  <si>
    <t>511 Деятельность пассажирского воздушного транспорта</t>
  </si>
  <si>
    <t>Складирование и хранение</t>
  </si>
  <si>
    <t>521</t>
  </si>
  <si>
    <t>521 Складирование и хранение</t>
  </si>
  <si>
    <t>Вспомогательная деятельность в области перевозок</t>
  </si>
  <si>
    <t>522</t>
  </si>
  <si>
    <t>522 Вспомогательная деятельность в области перевозок</t>
  </si>
  <si>
    <t>Почтовая деятельность в рамках предоставления услуг общего пользования</t>
  </si>
  <si>
    <t>531</t>
  </si>
  <si>
    <t>531 Почтовая деятельность в рамках предоставления услуг общего пользования</t>
  </si>
  <si>
    <t>Прочая почтовая и курьерская деятельность</t>
  </si>
  <si>
    <t>532</t>
  </si>
  <si>
    <t>532 Прочая почтовая и курьерская деятельность</t>
  </si>
  <si>
    <t>Предоставление услуг гостиницами и аналогичными местами для проживания</t>
  </si>
  <si>
    <t>551</t>
  </si>
  <si>
    <t>551 Предоставление услуг гостиницами и аналогичными местами для проживания</t>
  </si>
  <si>
    <t>Предоставление жилья на выходные дни и прочие периоды краткосрочного проживания</t>
  </si>
  <si>
    <t>552</t>
  </si>
  <si>
    <t>552 Предоставление жилья на выходные дни и прочие периоды краткосрочного проживания</t>
  </si>
  <si>
    <t>Предоставление мест для проживания на территории кемпингов, лагерей</t>
  </si>
  <si>
    <t>553</t>
  </si>
  <si>
    <t>553 Предоставление мест для проживания на территории кемпингов, лагерей</t>
  </si>
  <si>
    <t>Предоставление услуг прочими местами для проживания</t>
  </si>
  <si>
    <t>559</t>
  </si>
  <si>
    <t>559 Предоставление услуг прочими местами для проживания</t>
  </si>
  <si>
    <t>Деятельность ресторанов</t>
  </si>
  <si>
    <t>561</t>
  </si>
  <si>
    <t>561 Деятельность ресторанов</t>
  </si>
  <si>
    <t>Обслуживание мероприятий и прочие услуги по общественному питанию</t>
  </si>
  <si>
    <t>562</t>
  </si>
  <si>
    <t>562 Обслуживание мероприятий и прочие услуги по общественному питанию</t>
  </si>
  <si>
    <t>Деятельность баров</t>
  </si>
  <si>
    <t>563</t>
  </si>
  <si>
    <t>563 Деятельность баров</t>
  </si>
  <si>
    <t>Издание книг, периодических публикаций и другие виды издательской деятельности</t>
  </si>
  <si>
    <t>581</t>
  </si>
  <si>
    <t>581 Издание книг, периодических публикаций и другие виды издательской деятельности</t>
  </si>
  <si>
    <t>Издание программного обеспечения</t>
  </si>
  <si>
    <t>582</t>
  </si>
  <si>
    <t>582 Издание программного обеспечения</t>
  </si>
  <si>
    <t>Деятельность по производству, распространению кино-, видеофильмов и телевизионных программ, показу кинофильмов</t>
  </si>
  <si>
    <t>591</t>
  </si>
  <si>
    <t>591 Деятельность по производству, распространению кино-, видеофильмов и телевизионных программ, показу кинофильмов</t>
  </si>
  <si>
    <t>Деятельность в сфере звукозаписи и издания музыкальных произведений</t>
  </si>
  <si>
    <t>592</t>
  </si>
  <si>
    <t>592 Деятельность в сфере звукозаписи и издания музыкальных произведений</t>
  </si>
  <si>
    <t>Радиовещание</t>
  </si>
  <si>
    <t>601</t>
  </si>
  <si>
    <t>601 Радиовещание</t>
  </si>
  <si>
    <t>Деятельность по созданию телевизионных программ и телевещание</t>
  </si>
  <si>
    <t>602</t>
  </si>
  <si>
    <t>602 Деятельность по созданию телевизионных программ и телевещание</t>
  </si>
  <si>
    <t>Деятельность в области проводной связи</t>
  </si>
  <si>
    <t>611</t>
  </si>
  <si>
    <t>611 Деятельность в области проводной связи</t>
  </si>
  <si>
    <t>Деятельность в области беспроводной связи</t>
  </si>
  <si>
    <t>612</t>
  </si>
  <si>
    <t>612 Деятельность в области беспроводной связи</t>
  </si>
  <si>
    <t>Деятельность в области спутниковой связи</t>
  </si>
  <si>
    <t>613</t>
  </si>
  <si>
    <t>613 Деятельность в области спутниковой связи</t>
  </si>
  <si>
    <t>Прочая деятельность в области телекоммуникаций</t>
  </si>
  <si>
    <t>619</t>
  </si>
  <si>
    <t>619 Прочая деятельность в области телекоммуникаций</t>
  </si>
  <si>
    <t>Компьютерное программирование, консультационные и другие сопутствующие услуги</t>
  </si>
  <si>
    <t>620</t>
  </si>
  <si>
    <t>620 Компьютерное программирование, консультационные и другие сопутствующие услуги</t>
  </si>
  <si>
    <t>Обработка данных, предоставление услуг по размещению информации и связанная с этим деятельность; деятельность веб-порталов</t>
  </si>
  <si>
    <t>631</t>
  </si>
  <si>
    <t>631 Обработка данных, предоставление услуг по размещению информации и связанная с этим деятельность; деятельность веб-порталов</t>
  </si>
  <si>
    <t>Деятельность информационных агентств и прочие виды информационного обслуживания</t>
  </si>
  <si>
    <t>639</t>
  </si>
  <si>
    <t>639 Деятельность информационных агентств и прочие виды информационного обслуживания</t>
  </si>
  <si>
    <t>Деятельность в области архитектуры, инженерных изысканий и предоставление технических консультаций в этих областях</t>
  </si>
  <si>
    <t>711</t>
  </si>
  <si>
    <t>711 Деятельность в области архитектуры, инженерных изысканий и предоставление технических консультаций в этих областях</t>
  </si>
  <si>
    <t>Технические испытания, исследования, анализ и сертификация</t>
  </si>
  <si>
    <t>712</t>
  </si>
  <si>
    <t>712 Технические испытания, исследования, анализ и сертификация</t>
  </si>
  <si>
    <t>Научные исследования и разработки в области естественных и технических наук</t>
  </si>
  <si>
    <t>721</t>
  </si>
  <si>
    <t>721 Научные исследования и разработки в области естественных и технических наук</t>
  </si>
  <si>
    <t>Научные исследования и разработки в области общественных и гуманитарных наук</t>
  </si>
  <si>
    <t>722</t>
  </si>
  <si>
    <t>722 Научные исследования и разработки в области общественных и гуманитарных наук</t>
  </si>
  <si>
    <t>Капитальные затраты (CAPEX)</t>
  </si>
  <si>
    <t>Показатель / Коэффициент</t>
  </si>
  <si>
    <t>Год 1</t>
  </si>
  <si>
    <t>Год 2</t>
  </si>
  <si>
    <t>Год 3</t>
  </si>
  <si>
    <t>Формула / комментарий</t>
  </si>
  <si>
    <t>Собственный капитал</t>
  </si>
  <si>
    <t>Долгосрочные обязательства</t>
  </si>
  <si>
    <t>Краткосрочные обязательства</t>
  </si>
  <si>
    <t>Чистая прибыль</t>
  </si>
  <si>
    <t>Рентабельность активов (ROA)</t>
  </si>
  <si>
    <t>Рентабельность собственного  капитала (ROE)</t>
  </si>
  <si>
    <t>—</t>
  </si>
  <si>
    <t>Значение берётся из баланса</t>
  </si>
  <si>
    <t>Норма (ссылка)</t>
  </si>
  <si>
    <t>Соответствие</t>
  </si>
  <si>
    <t>Собственный капитал / Активы</t>
  </si>
  <si>
    <t>Коэффициент автономии</t>
  </si>
  <si>
    <t>Финансовая устойчивость</t>
  </si>
  <si>
    <t>Стресс‑тесты</t>
  </si>
  <si>
    <t>Лист</t>
  </si>
  <si>
    <t>Содержимое</t>
  </si>
  <si>
    <t>Связь</t>
  </si>
  <si>
    <t>Оценка проекта</t>
  </si>
  <si>
    <t>Денежные потоки, чистая приведённая стоимость, внутренняя норма доходности, индекс прибыльности, срок окупаемости, коэффициент покрытия долга</t>
  </si>
  <si>
    <t>Отраслевые нормативы и WACC</t>
  </si>
  <si>
    <t>Итоговая оценка</t>
  </si>
  <si>
    <t>Объединяет результаты и даёт заключение</t>
  </si>
  <si>
    <t>Сравниваются с отраслевыми нормативами</t>
  </si>
  <si>
    <t>Использует отраслевой WACC для расчётов</t>
  </si>
  <si>
    <t>Дополняют оценку проекта</t>
  </si>
  <si>
    <t>Нормативы ликвидности и отраслевые значения WACC</t>
  </si>
  <si>
    <t>Справочник для всех расчётов</t>
  </si>
  <si>
    <t>Сводный вывод + цветовой индикатор</t>
  </si>
  <si>
    <t>Баланс предприятия</t>
  </si>
  <si>
    <t xml:space="preserve">Временной период </t>
  </si>
  <si>
    <t>Комментарий</t>
  </si>
  <si>
    <t>Внутренняя норма доходности</t>
  </si>
  <si>
    <t>Коэффициент автономии (буфер собственного капитала)</t>
  </si>
  <si>
    <t>Отраслевой WACC используется как нормативная ставка дисконтирования. В оценке проекта ВНД сопоставляется с WACC: если ВНД ≥ WACC, проект считается экономически целесообразным. Чем выше WACC, тем выше порог доходности, который должен обеспечить проект</t>
  </si>
  <si>
    <t>Коэффициент текущей ликвидности</t>
  </si>
  <si>
    <t>Рентабельность капитала (ROE)</t>
  </si>
  <si>
    <t>Чувствительность NPV</t>
  </si>
  <si>
    <t>Предел ставки кредита</t>
  </si>
  <si>
    <t>(NPV_стресс – NPV_база) / NPV_база</t>
  </si>
  <si>
    <t>NPV</t>
  </si>
  <si>
    <t xml:space="preserve">Показатель </t>
  </si>
  <si>
    <t>Чистая прибыль / Активы(среднегодовые)</t>
  </si>
  <si>
    <t>Чистая прибыль / Собственный капитал(среднегодовой)</t>
  </si>
  <si>
    <t xml:space="preserve">Формула </t>
  </si>
  <si>
    <t>Выручка</t>
  </si>
  <si>
    <t>Налоговая ставка (%)</t>
  </si>
  <si>
    <t>Ставка кредита (%)</t>
  </si>
  <si>
    <t>Проценты по кредиту</t>
  </si>
  <si>
    <t>Всего активов</t>
  </si>
  <si>
    <t>Всего обязательств</t>
  </si>
  <si>
    <t>Денежный поток (для обслуживания долга)</t>
  </si>
  <si>
    <t>Расшифровка</t>
  </si>
  <si>
    <t>Текущие активы проекта</t>
  </si>
  <si>
    <t>Обязательства до 1 года</t>
  </si>
  <si>
    <t>Долгосрочные активы</t>
  </si>
  <si>
    <t>СК</t>
  </si>
  <si>
    <t>ДС</t>
  </si>
  <si>
    <t>Коэффициент покрытия процентов</t>
  </si>
  <si>
    <t>CAPEX</t>
  </si>
  <si>
    <t>Капитальные затраты</t>
  </si>
  <si>
    <t>Инвестиции в проект</t>
  </si>
  <si>
    <t>WACC</t>
  </si>
  <si>
    <t>Средневзвешенная стоимость капитала</t>
  </si>
  <si>
    <t>Ставка дисконтирования</t>
  </si>
  <si>
    <t>Чистая приведённая стоимость</t>
  </si>
  <si>
    <t>Оценка стоимости проекта</t>
  </si>
  <si>
    <t>ΔNPV</t>
  </si>
  <si>
    <t>Изменение NPV в стрессе</t>
  </si>
  <si>
    <t>FX</t>
  </si>
  <si>
    <t>Валютный эффект</t>
  </si>
  <si>
    <t>Изменение курса валюты</t>
  </si>
  <si>
    <t>Долговой сервис ( обслуживание долга)</t>
  </si>
  <si>
    <t>Блок 1. Базовые показатели проекта</t>
  </si>
  <si>
    <t>Блок 2. Баланс</t>
  </si>
  <si>
    <t>Краткосрочные + Долгосрочные</t>
  </si>
  <si>
    <t>Блок 6. Стресс‑драйверы</t>
  </si>
  <si>
    <t>Снижение выручки (%)</t>
  </si>
  <si>
    <t>Процент снижения выручки</t>
  </si>
  <si>
    <t>Процент увеличения расходов</t>
  </si>
  <si>
    <t>Абсолютное увеличение ставки</t>
  </si>
  <si>
    <t>Рост WACC (п.п.)</t>
  </si>
  <si>
    <t>Абсолютное увеличение ставки дисконтирования</t>
  </si>
  <si>
    <t>Блок 7. Стресс‑ряды</t>
  </si>
  <si>
    <t>Перенос запуска проекта (мес.)</t>
  </si>
  <si>
    <t>Количество месяцев переноса</t>
  </si>
  <si>
    <t>Стресс выручка</t>
  </si>
  <si>
    <t>Стресс EBITDA</t>
  </si>
  <si>
    <t>Стресс проценты</t>
  </si>
  <si>
    <t>Стресс денежный поток</t>
  </si>
  <si>
    <t>Доля долга в иностранной валюте</t>
  </si>
  <si>
    <t>Платежи по долгу стресс</t>
  </si>
  <si>
    <t>Блок 3. Коэффициенты устойчивости и рентабельности</t>
  </si>
  <si>
    <t>Чистая прибыль стресс</t>
  </si>
  <si>
    <t xml:space="preserve"> Норматив (≥)</t>
  </si>
  <si>
    <t xml:space="preserve"> Инвестиционные проект</t>
  </si>
  <si>
    <t>Источник2</t>
  </si>
  <si>
    <t xml:space="preserve">Покрытие основного долга, покрытие всех обязательств, чувствительность доходности, предел ставки кредита, буфер собственного капитала и др. </t>
  </si>
  <si>
    <t xml:space="preserve">Выпадающий список </t>
  </si>
  <si>
    <t>Внутренняя норма доходности (IRR)</t>
  </si>
  <si>
    <t>ВНД (денежные потоки)</t>
  </si>
  <si>
    <t>Внутренняя норма доходности  стресс (ВНД)</t>
  </si>
  <si>
    <t>Ставка по  кредиту (%)</t>
  </si>
  <si>
    <t>График погашения кредита</t>
  </si>
  <si>
    <t>Краткосрочные активы</t>
  </si>
  <si>
    <t>Коэффициент покрытия задолженности (Кпз)</t>
  </si>
  <si>
    <t xml:space="preserve">Платежи по кредиту </t>
  </si>
  <si>
    <t>Погашение основного долга</t>
  </si>
  <si>
    <t>Рентабельность активов (Ра)</t>
  </si>
  <si>
    <t>Коэффициент обеспеченности собственными оборотными средствами</t>
  </si>
  <si>
    <t>(собственный капитал + долгосрочные обязательства - долгосрочные активы) / краткосрочные активы</t>
  </si>
  <si>
    <t>Коэффициент финансовой независимости (автономии) (Кфн)</t>
  </si>
  <si>
    <t>Коэффициент обеспеченности обязательств активами (Ка)</t>
  </si>
  <si>
    <t xml:space="preserve"> Обязательства/Активы </t>
  </si>
  <si>
    <t>Выдачи кредита</t>
  </si>
  <si>
    <t>Долгосрочные  активы  стресс</t>
  </si>
  <si>
    <t>Стресс капитальные затраты (CAPEX)</t>
  </si>
  <si>
    <t>Стресс Операционные  расходы (OPEX)</t>
  </si>
  <si>
    <t>Стресс основного долга в зависимости от изменения курса валюты ( при  кредитования в иностранной валюте)</t>
  </si>
  <si>
    <t xml:space="preserve">Коэффициент покрытия процентов по стрессовым условиям </t>
  </si>
  <si>
    <t>Остаток кредита на конец периода</t>
  </si>
  <si>
    <t>Флаг капитализации</t>
  </si>
  <si>
    <t>(0- без капитализации %. 1- с капитализацией %)</t>
  </si>
  <si>
    <t>Эффект индекса курса валюты (%)</t>
  </si>
  <si>
    <t>Блок 1. Показатели для ввода</t>
  </si>
  <si>
    <t>Источник1</t>
  </si>
  <si>
    <t xml:space="preserve">Долгосрочные активы  </t>
  </si>
  <si>
    <t>Текущие (Операционные)  расходы (OPEX)</t>
  </si>
  <si>
    <t>Блок 2. Принятые обозначения и сокращения</t>
  </si>
  <si>
    <t>КА</t>
  </si>
  <si>
    <t>Краткосрочные  активы</t>
  </si>
  <si>
    <t>К0</t>
  </si>
  <si>
    <t>ДА</t>
  </si>
  <si>
    <t>Долгосрочные  активы</t>
  </si>
  <si>
    <t>Выплаты процентов + погашение основного долга</t>
  </si>
  <si>
    <t>Сокращения</t>
  </si>
  <si>
    <t>Изменение чистого оборотного капитала</t>
  </si>
  <si>
    <t>№ строки</t>
  </si>
  <si>
    <t xml:space="preserve">Коэффициент покрытия задолженности </t>
  </si>
  <si>
    <t>Кпз</t>
  </si>
  <si>
    <t>Блок 4.Параметры заемных средств</t>
  </si>
  <si>
    <t xml:space="preserve">2. Параметры кредита  в иностранной валюте </t>
  </si>
  <si>
    <t>Прирост чистого оборотного капитала</t>
  </si>
  <si>
    <t>IRR (ВНД)</t>
  </si>
  <si>
    <t>Влияние изменения курса валюты на показатели проекта</t>
  </si>
  <si>
    <t>Амортизация</t>
  </si>
  <si>
    <t xml:space="preserve">Налоги </t>
  </si>
  <si>
    <t xml:space="preserve">Амортизация </t>
  </si>
  <si>
    <t>Баланс основных средств  предприятия</t>
  </si>
  <si>
    <t>3 предшествующих года и данные по  инвестпроекту</t>
  </si>
  <si>
    <t>3 предшествующих года и горизонт инвестпроекта</t>
  </si>
  <si>
    <t>Горизонт инвестпроекта</t>
  </si>
  <si>
    <t>Данные инвестпроекта</t>
  </si>
  <si>
    <t>Баланс основных средств</t>
  </si>
  <si>
    <t>Проценты по существующим заемным средствам</t>
  </si>
  <si>
    <t>Проценты по новым заемным средствам</t>
  </si>
  <si>
    <t>Налоговая база × ставка 20%) [стр.8 × стр.9]</t>
  </si>
  <si>
    <t>Красткосрочные + Долгосрочные</t>
  </si>
  <si>
    <t xml:space="preserve">Применяется к остатку на начало периода </t>
  </si>
  <si>
    <t>Единица измерения: тыс. руб.</t>
  </si>
  <si>
    <t>Единица измерения: доли</t>
  </si>
  <si>
    <t xml:space="preserve"> Курс пересчёта                   </t>
  </si>
  <si>
    <t xml:space="preserve"> Устанавливается вручную или через формулу               </t>
  </si>
  <si>
    <t xml:space="preserve"> Эквивалент в рублях              </t>
  </si>
  <si>
    <t xml:space="preserve">Ставка * Остаток долга на начало периода [стр.42 × стр.38]            </t>
  </si>
  <si>
    <t>Проценты по кредиту в валюте</t>
  </si>
  <si>
    <t xml:space="preserve">Проценты по кредиту в рублях </t>
  </si>
  <si>
    <t>Проценты (в валюте) × курс [стр.43 × стр.39]</t>
  </si>
  <si>
    <t>Погашение основного долга ( в валюте)</t>
  </si>
  <si>
    <t>Платежи по кредиту (в валюте)</t>
  </si>
  <si>
    <t xml:space="preserve">	Остаток на начало + выдачи – погашение + Проценты × Флаг капитализации [стр.38 + стр.41 – стр.45 + стр.43 × стр.48]</t>
  </si>
  <si>
    <t>Выдачи займа</t>
  </si>
  <si>
    <t>Ставка займа (%)</t>
  </si>
  <si>
    <t>Проценты по займу</t>
  </si>
  <si>
    <t>3. Займы других организаций</t>
  </si>
  <si>
    <t>4. Финансовая аренда (лизинг)</t>
  </si>
  <si>
    <t>Новые договоры лизинга</t>
  </si>
  <si>
    <t>Ставка лизинга (%)</t>
  </si>
  <si>
    <t>Проценты по лизингу</t>
  </si>
  <si>
    <t>Платежи по лизингу (денежные)</t>
  </si>
  <si>
    <t>Остаток обязательств на конец</t>
  </si>
  <si>
    <t>Остаток обязательств на начало</t>
  </si>
  <si>
    <t>Аванс (первоначальный платёж)</t>
  </si>
  <si>
    <t>Вводимое значение</t>
  </si>
  <si>
    <t>Выкупная стоимость</t>
  </si>
  <si>
    <t>Вводимое значение (платёж в конце срока)</t>
  </si>
  <si>
    <t>Сумма займа на начало</t>
  </si>
  <si>
    <t>Платежи по займу (денежные)</t>
  </si>
  <si>
    <t>Остаток займа на конец</t>
  </si>
  <si>
    <t>Вводимое значение по годам (0 или 1)</t>
  </si>
  <si>
    <t>Особые условия</t>
  </si>
  <si>
    <t>Текстовое поле: беспроцентный / отсрочка / конвертация в долю</t>
  </si>
  <si>
    <t>Выпуск ценных бумаг</t>
  </si>
  <si>
    <t>Номинал</t>
  </si>
  <si>
    <t>Купонная ставка (%)</t>
  </si>
  <si>
    <t>Купонные выплаты</t>
  </si>
  <si>
    <t>Погашение номинала</t>
  </si>
  <si>
    <t>Платежи по ценным бумагам</t>
  </si>
  <si>
    <t>Компенсация процентов</t>
  </si>
  <si>
    <t>Вводимое значение (уменьшает расходы по кредитам)</t>
  </si>
  <si>
    <t>Субсидии/гранты</t>
  </si>
  <si>
    <t>Вводимое значение (положительный поток)</t>
  </si>
  <si>
    <t>Гарантии</t>
  </si>
  <si>
    <t>Итоговый эффект на расходы</t>
  </si>
  <si>
    <t>Итоговый эффект на притоки</t>
  </si>
  <si>
    <t>Сводный результат</t>
  </si>
  <si>
    <t>Сумма кредита на начало периода</t>
  </si>
  <si>
    <t>Равна остатку на конец предыдущего периода [стр.36 по графе t–1]</t>
  </si>
  <si>
    <t>Ставка × Остаток долга  на начало периода  [стр.32 × стр.30]</t>
  </si>
  <si>
    <t xml:space="preserve">Остаток кредита  в валюте на начало периода </t>
  </si>
  <si>
    <t xml:space="preserve"> Остаток в валюте × курс [стр.38 × стр.39]                  </t>
  </si>
  <si>
    <t>Вводимое значение (применяется к остатку на начало)</t>
  </si>
  <si>
    <t>Погашение + Проценты × (1 – Флаг капитализации)  [стр.45 + стр.43 × (1 – стр.50)]</t>
  </si>
  <si>
    <t>Платежи по кредиту (в рублях)</t>
  </si>
  <si>
    <t>Остаток кредита на конец (в рублях)</t>
  </si>
  <si>
    <t>Равен остатку на конец предыдущего периода [стр.57 по графе t–1]</t>
  </si>
  <si>
    <t>Равен остатку на конец предыдущего периода [стр.68 по графе t–1]</t>
  </si>
  <si>
    <t>Остаток на начало + Новые договоры – Погашение + Проценты × Флаг капитализации [стр.60 + стр.61 – стр.65 + стр.64 × стр.69]</t>
  </si>
  <si>
    <t>Равен остатку на конец предыдущего периода [стр.77 по графе t–1]</t>
  </si>
  <si>
    <t>Купонная ставка × Номинал [стр.73 × стр.72 ]</t>
  </si>
  <si>
    <t>Купонные выплаты + Погашение × (1 – Флаг капитализации) [стр.74 + стр.75 × (1 – стр.78)]</t>
  </si>
  <si>
    <t>Остаток на начало + Выпуск – Погашение + Купонные выплаты × Флаг капитализации [стр.70 + стр.71 – стр.75 + стр.74 × стр.78]</t>
  </si>
  <si>
    <t xml:space="preserve">5. Ценные бумаги </t>
  </si>
  <si>
    <t>6. Государственное участие</t>
  </si>
  <si>
    <t>Субсидии/гранты – положительный поток [стр.80 ]</t>
  </si>
  <si>
    <t>Текстовое поле  (неденежный поток, отражается в разделе «Риски»)</t>
  </si>
  <si>
    <t>7. Существующие долгосрочные кредиты, займы организации</t>
  </si>
  <si>
    <t>Остаток на начало</t>
  </si>
  <si>
    <t>Ставка (%)</t>
  </si>
  <si>
    <t>Остаток на конец</t>
  </si>
  <si>
    <t>Ставка × Остаток на начало [стр.86 × стр.85]</t>
  </si>
  <si>
    <t>Проценты + Погашение [стр.87 + стр.88]</t>
  </si>
  <si>
    <t>Остаток на начало – Погашение [стр.85 – стр.88]</t>
  </si>
  <si>
    <t>Остаток на конец предыдущего периода</t>
  </si>
  <si>
    <t xml:space="preserve">Проценты по существующим займам из блока 7[стр.87] </t>
  </si>
  <si>
    <t>Итого проценты =</t>
  </si>
  <si>
    <t>из блока «Заемные средства»  [стр.33 + стр.44+стр.54+стр.64+стр.74-стр.79]</t>
  </si>
  <si>
    <t>Налоговая база – Налоги [стр.8 – стр.10]</t>
  </si>
  <si>
    <t>Краткосрочные активы
/краткосрочные обязательства  [стр.17/ стр.18]</t>
  </si>
  <si>
    <t>Собственный капитал / Активы [стр.21/  стр.22]</t>
  </si>
  <si>
    <t>(Собственный капитал + долгосрочные обязательства - долгосрочные активы) / краткосрочные активы  [стр.21 + стр.20 – стр.19)/ стр.17]</t>
  </si>
  <si>
    <t xml:space="preserve"> Обязательства/Активы  [стр.23/ стр.22]</t>
  </si>
  <si>
    <t>Чистая прибыль / Активы(среднегодовые) [стр.11/ стр.22]</t>
  </si>
  <si>
    <t>Чистая прибыль / Собственный капитал(среднегодовой) [стр.11/ стр.21]</t>
  </si>
  <si>
    <t>Доля выручки в иностранной валюте</t>
  </si>
  <si>
    <t>Процент</t>
  </si>
  <si>
    <t>Доля импортной составляющей в OPEX</t>
  </si>
  <si>
    <t xml:space="preserve"> Вводимое значение по графику</t>
  </si>
  <si>
    <t>Сумма эффектов на расходы[-(стр.79 + стр.80) ]</t>
  </si>
  <si>
    <t>Блок 5. Показатели возвратности заемных средств</t>
  </si>
  <si>
    <t>Рост ставки кредита по рублевым кредитам (п.п.)</t>
  </si>
  <si>
    <t>сумма ставок по каждому займу (в рублевом выражении), умноженных на их долю в общем объёме долга</t>
  </si>
  <si>
    <t>Средневзвешенная ставка по всем заемным средствам (по проекту)</t>
  </si>
  <si>
    <t xml:space="preserve">Доля кредитов  в иностранной валюте в общем объеме  кредитования </t>
  </si>
  <si>
    <t>Доля краткосрочных активов в иностранной валюте (импортные сырье и материалы) (чистая импортоемкость)</t>
  </si>
  <si>
    <t xml:space="preserve">Стресс ставка по новым кредитам (единая в рублевом выражении) с учетом кредитных и валютных рисков </t>
  </si>
  <si>
    <t>средневзвешенная ставка % по всем заемным средствам с учетом стресса</t>
  </si>
  <si>
    <t xml:space="preserve">(платежи по долгу+проценты в году n /общий объем долговых платежей по проекту [ ] </t>
  </si>
  <si>
    <t>Доля долга в иностранной валюте в общем долге</t>
  </si>
  <si>
    <t xml:space="preserve">Средневзвешенная стресс ставка по всем заемным средствам </t>
  </si>
  <si>
    <t>Средневзвешенная ставка по долгу стресс</t>
  </si>
  <si>
    <t xml:space="preserve"> Ставка стресс, взвешенная по доле долга по годам [ ]  </t>
  </si>
  <si>
    <t xml:space="preserve">Среднее значение за 3 года </t>
  </si>
  <si>
    <t>Рентабельность активов (≥ )</t>
  </si>
  <si>
    <t>Финансовый леверидж (отношение долга к собственному капиталу )</t>
  </si>
  <si>
    <t>Финансовый леверидж (отношение долга к собственному капиталу ) (&lt;1, 05-07)</t>
  </si>
  <si>
    <t>Коэффициент автономии (буфер собственного капитала): диапазон 0,4-0,6)</t>
  </si>
  <si>
    <t>Блок 2. Финансовые коэффициенты(оценка состояния за 3 года).</t>
  </si>
  <si>
    <t xml:space="preserve">WACC (проекты) </t>
  </si>
  <si>
    <t>Среднее значение по проекту</t>
  </si>
  <si>
    <t>Среднее значение по стресс сценарию</t>
  </si>
  <si>
    <t>Краткосрочные активы  / Краткосрочные обязательства</t>
  </si>
  <si>
    <t>Коэффициент текущей ликвидности стресс</t>
  </si>
  <si>
    <t>Коэффициент обеспеченности обязательств активами стресс</t>
  </si>
  <si>
    <t xml:space="preserve">Коэффициент автономии стресс </t>
  </si>
  <si>
    <t>Коэффициент обеспеченности собственными оборотными средствами (стресс)</t>
  </si>
  <si>
    <t>Рентабельность активов (ROA) стресс</t>
  </si>
  <si>
    <t xml:space="preserve">Рентабельность капитала (ROE) стресс </t>
  </si>
  <si>
    <t>Знак светофора</t>
  </si>
  <si>
    <t xml:space="preserve">Знак светофора для базового проекта </t>
  </si>
  <si>
    <t>Знак светофора для стрессового сценария</t>
  </si>
  <si>
    <t xml:space="preserve">Оценка базового проекта (соответствие)  </t>
  </si>
  <si>
    <t xml:space="preserve">Оценка проекта при стрессах (соответствие)   </t>
  </si>
  <si>
    <t>Краткосрочные  активы /Краткосрочные обязательства  [стр.2/стр.5]</t>
  </si>
  <si>
    <t>(Долгосрочные+Краткосрочные обязательства)/собственный капитал  [(стр.4+стр.5)/стр.3]</t>
  </si>
  <si>
    <t>(Собственный капитал + долгосрочные обязательства - долгосрочные активы) / краткосрочные активы [(стр.3+стр.4-стр.1)/стр.2]</t>
  </si>
  <si>
    <t>(краткосрочные обязательства+Долгосрочные обязательства)/ активы [(стр.4+стр.5)/стр.6]</t>
  </si>
  <si>
    <t>Собственный капитал / Активы [стр.3/стр.6]</t>
  </si>
  <si>
    <t xml:space="preserve">Коэффициент покрытия процентов </t>
  </si>
  <si>
    <t xml:space="preserve">Комментарий для стрессового варианта (автоматичнское заполение </t>
  </si>
  <si>
    <t>Комментарий для базового варианта  (автоматическое заполнение)</t>
  </si>
  <si>
    <t xml:space="preserve">Ставка по заемным средствам </t>
  </si>
  <si>
    <t>Погашение + Проценты × (1 – Флаг капитализации) [стр.34 + стр.33 × (1 – стр.37)]</t>
  </si>
  <si>
    <t xml:space="preserve">Равен остатку на конец предыдущего периода [стр.48 по графе t–1] </t>
  </si>
  <si>
    <t>Долг_в_валюте / (Кредиты_в_валюте+Кредиты_в_рублях+Лизинг+Купоны+ Влияние Госучастия)  [стр.40/(стр.30+стр.40+стр.51+стр.60+стр.70+стр.84+стр.85)]</t>
  </si>
  <si>
    <t>Кредиты_в_валюте / (Кредиты_в_валюте+Кредиты_в_рублях)  [стр.40/(стр.30+стр.40)]</t>
  </si>
  <si>
    <t>Базовая_выручка * (1 - Снижение_выручки_в текущем году)*(1 + FX‑эффект × доля валютной выручки в текущем году)  накопительным итогом [(стр.1*(1-стр.93)*(1+стр.104*стр.94)*… × все предыдущие годы ]</t>
  </si>
  <si>
    <t>Базовый_OPEX * (1 + Рост_OPEX _в текущем году)*((1-доля импортной составляющей в OPEX)+ (1 + FX‑эффект) × доля импортной составляющей в OPEX в текущем году)  накопительным итогом [(стр.2*(1+стр.95)*((1-стр.96)+(1+стр.104)*стр.96 … × все предыдущие годы ]</t>
  </si>
  <si>
    <t>(Базовая_ставка руб + Изменение_ставки_руб) * (1 - Доля_валютных_кредитов) + Ставка_валют в рублевом выражении с учетом изменение_ставки_валют)  * Доля_валютного_кредита ( накопительным итогом) [(стр.32+стр.97)⋅(1−стр.103)+(стр.99*стр.103]</t>
  </si>
  <si>
    <t>Базовые капитальные вложения  с учётом переноса запуска проекта или его этапов [стр.12 * (1 -стр.105) / 12)]</t>
  </si>
  <si>
    <t xml:space="preserve">EBITDA  стресс -(EBITDA стресс−
проценты по всему долгу - амортизация)*
(1−налоговая ставка) [стр.108-(стр.108 -стр.112-стр.3)*(1-стр.9)] </t>
  </si>
  <si>
    <t>Долгосроч_ обязат_баз* доля долга_нац_валюте + долгосроч_ обяз_баз*доля_долга_в валюте * (1 + FX_эффект) )+(прирост средневзвешенной ставки долга стресс по сравнению с базововой))*Долгосроч_ обязат_баз  []</t>
  </si>
  <si>
    <t xml:space="preserve">(собственный капитал + долгосрочные обязательства - долгосрочные активы) / краткосрочные активы [ ] </t>
  </si>
  <si>
    <t xml:space="preserve">(краткосрочные обязательства+Долгосрочные обязательства)/ активы  [ ] </t>
  </si>
  <si>
    <t xml:space="preserve">Чистая прибыль стресс / Активы стресс  [ ] </t>
  </si>
  <si>
    <t xml:space="preserve">Чистая прибыль стресс  / Собственный капитал  [ ] </t>
  </si>
  <si>
    <t xml:space="preserve">Собственный капитал / Активы  [ ] </t>
  </si>
  <si>
    <t xml:space="preserve"> Параметр      </t>
  </si>
  <si>
    <t xml:space="preserve"> Значение         </t>
  </si>
  <si>
    <t xml:space="preserve"> Формула / Результат</t>
  </si>
  <si>
    <t xml:space="preserve"> Ставка кредита</t>
  </si>
  <si>
    <t xml:space="preserve"> Срок кредита  </t>
  </si>
  <si>
    <t xml:space="preserve"> Сумма кредита </t>
  </si>
  <si>
    <t xml:space="preserve">               </t>
  </si>
  <si>
    <t xml:space="preserve">                  </t>
  </si>
  <si>
    <t xml:space="preserve">                   </t>
  </si>
  <si>
    <t xml:space="preserve"> Норматив DSCR </t>
  </si>
  <si>
    <t xml:space="preserve">Денежный поток год 1   </t>
  </si>
  <si>
    <t xml:space="preserve">Денежный поток  год 2   </t>
  </si>
  <si>
    <t xml:space="preserve">Денежный поток год 3   </t>
  </si>
  <si>
    <t>Оценка финансовой устойчивости</t>
  </si>
  <si>
    <t>Оценка эффективности проекта</t>
  </si>
  <si>
    <t>Общий вывод</t>
  </si>
  <si>
    <t>Оценка основных показателей проекта.</t>
  </si>
  <si>
    <t>Денежный поток /платежи по долгу (основной долг+проценты)</t>
  </si>
  <si>
    <t>Сумма кредита ( отдельно по валютам)</t>
  </si>
  <si>
    <t xml:space="preserve"> Финансовая аренда (лизинг) и его параметры</t>
  </si>
  <si>
    <t>Среднегодовой</t>
  </si>
  <si>
    <t xml:space="preserve"> Процентная ставка, при которой чистая приведённая стоимость (NPV) равна 0. </t>
  </si>
  <si>
    <t>Показатель чувствительности Чистой приведенной стоимости</t>
  </si>
  <si>
    <t xml:space="preserve">Оценка при стрессе </t>
  </si>
  <si>
    <t xml:space="preserve">Базовый вариант оценки </t>
  </si>
  <si>
    <t>Общая оценка проекта</t>
  </si>
  <si>
    <t xml:space="preserve">Для базового сценария </t>
  </si>
  <si>
    <t>Для стресс сценария</t>
  </si>
  <si>
    <t>Макс. ставка кредита при DSCR ≥ 1,5</t>
  </si>
  <si>
    <t>Блок 4.Методологические замечания</t>
  </si>
  <si>
    <t>Ставка по валютным кредитам в рублевом выражении с учетом изменения)</t>
  </si>
  <si>
    <t>Долгосрочные активы+Краткосрочные активы</t>
  </si>
  <si>
    <t xml:space="preserve">Срееднегодовые </t>
  </si>
  <si>
    <t xml:space="preserve">рассчитывается по данным баланса </t>
  </si>
  <si>
    <t>Компенсация процентов – (не влияет на остаток долга) [стр.79 ]</t>
  </si>
  <si>
    <t>Примечания</t>
  </si>
  <si>
    <t>Блок 1. Баланс предприятия за предыдущие 3 года</t>
  </si>
  <si>
    <t>Балансовые коэффициенты за предыдущие три года (ликвидность, автономия, рентабельность)</t>
  </si>
  <si>
    <t>на начало года</t>
  </si>
  <si>
    <t xml:space="preserve">на конец года </t>
  </si>
  <si>
    <t xml:space="preserve">Долгосрочные активы активы </t>
  </si>
  <si>
    <t xml:space="preserve">Краткосрочные активы </t>
  </si>
  <si>
    <t xml:space="preserve">Долгосрочные обязательства  </t>
  </si>
  <si>
    <t xml:space="preserve">Краткосрочные обязательства </t>
  </si>
  <si>
    <t xml:space="preserve">Итого активы </t>
  </si>
  <si>
    <t xml:space="preserve">Собственный капитал </t>
  </si>
  <si>
    <t xml:space="preserve"> Чистая прибыль / среднегодовой собственный капитал [стр.7/(стр.3t+стр.3t-1)/2]</t>
  </si>
  <si>
    <t xml:space="preserve"> Чистая прибыль / Средняя стоимость активов  [стр.7/(стр.6t+стр.6t-1)/2]</t>
  </si>
  <si>
    <t>— Если ROE выше среднеотраслевого → компания работает эффективнее конкурентов, создаёт дополнительную стоимость для собственников.  
— Если ROE ниже среднеотраслевого → эффективность капитала уступает отрасли, собственники теряют в сравнении с альтернативами.  
— Если ROE равен среднеотраслевому → компания находится на уровне рынка, без преимущества или отставания.</t>
  </si>
  <si>
    <t xml:space="preserve">Прибыль до налогообложения (EBT)  </t>
  </si>
  <si>
    <t xml:space="preserve">EBITDA (адаптированный расчёт)  </t>
  </si>
  <si>
    <t>Прибыль до налогообложения (EBT) — одновременно налоговая база для расчёта налога на прибыль.</t>
  </si>
  <si>
    <t>Ставка по займу (%)</t>
  </si>
  <si>
    <t>График погашения основного долга</t>
  </si>
  <si>
    <t>Чистая прибыль + Амортизация – CAPEX ± Δчистого оборотного капитала [стр.11 + стр.3 – стр.12 ± стр.13]</t>
  </si>
  <si>
    <t>Денежный поток / (погашение основного долга + погашение процентов)</t>
  </si>
  <si>
    <t xml:space="preserve">Рентабельность активов (среднеотраслева за последние 12 кварталов-2022-2024 г.г.) </t>
  </si>
  <si>
    <t>Рентабельность собственного капитала (среднеотраслева за последние 12 кварталов-2022-2024 г.г.)</t>
  </si>
  <si>
    <t xml:space="preserve"> Отчета о прибылях и убытках</t>
  </si>
  <si>
    <t>(Прибыль до налогообложения +процентные платежи)/процентные платежи</t>
  </si>
  <si>
    <t xml:space="preserve"> Займы других организаций и их параметры </t>
  </si>
  <si>
    <t>Новые кредиты и их параметры</t>
  </si>
  <si>
    <t>Операционная прибыль (EBIT) = Прибыль до налогообложения (EBT)+процентные платежи</t>
  </si>
  <si>
    <t xml:space="preserve">Адаптированный расчет EBITDA </t>
  </si>
  <si>
    <t xml:space="preserve"> Прибыль до налогообложения  (EBT) </t>
  </si>
  <si>
    <t xml:space="preserve">Данные  в ячейках голубого цвета на листах 2, 3,4, 6   содержат формулы, в обычных ячейках - вводимые данные. </t>
  </si>
  <si>
    <t>Сумма займа (по каждому  займу)</t>
  </si>
  <si>
    <t xml:space="preserve">Ценные бумаги </t>
  </si>
  <si>
    <t>Государственное участие</t>
  </si>
  <si>
    <t xml:space="preserve"> Существующие долгосрочные кредиты, займы организации</t>
  </si>
  <si>
    <t>КПП (ICR)</t>
  </si>
  <si>
    <t>Блок 3.Связь между листами.</t>
  </si>
  <si>
    <t>расчетный показатель (см. Методологическое замечание 2)</t>
  </si>
  <si>
    <t xml:space="preserve">Прибыль до уплаты процентов и налогов  (EBIT)
</t>
  </si>
  <si>
    <t xml:space="preserve"> В бухгалтерском смысле (НСБУ) амортизация является частью операционных расходов (OPEX) и распределена между строками 020, 040 и 050.
</t>
  </si>
  <si>
    <t>OPEX = Себестоимость реализованной продукции (стр. 020) + Управленческие расходы (стр. 040) + Расходы на реализацию (стр. 050)                                                                                           При расчете показателя EBITDA используется «очищенный» показатель — (OPEX за вычетом амортизации).</t>
  </si>
  <si>
    <t xml:space="preserve"> Прибыль до налогообложения+Проценты+Амортизация [стр.7 +  стр.6 +  стр.3]</t>
  </si>
  <si>
    <t xml:space="preserve">1)EBITDA =Прибыль до налогообложения(EBT)  +Процентные платежи + Амортизация; или   2) EBITDA = Выручка (от реализации продукции, товаров, работ, услуг) (стр. 010) – [ (Себестоимость реализованной продукции, товаров, работ, услуг) (стр. 020) + (Управленческие расходы) (стр. 040) + (Расходы на реализацию) (стр. 050) – Амортизация ]  </t>
  </si>
  <si>
    <t>Стресс выручка - Стресс OPEX - амортизация  [стр.106 -стр.107 -стр.3 ]</t>
  </si>
  <si>
    <t>При расчете показателя EBITDA вторым методом используется «очищенный» показатель — (OPEX за вычетом амортизации) (см. стр.108)</t>
  </si>
  <si>
    <t>Источник норматива</t>
  </si>
  <si>
    <t xml:space="preserve">Постановление Министерства экономики Республики Беларусь от 31 августа 2005 г. № 158 </t>
  </si>
  <si>
    <t>Лист 5, согласно Норамативно- правовым актам</t>
  </si>
  <si>
    <r>
      <t>WACC часто сравнивают с </t>
    </r>
    <r>
      <rPr>
        <b/>
        <sz val="10"/>
        <color rgb="FF0A0A0A"/>
        <rFont val="Arial"/>
        <family val="2"/>
      </rPr>
      <t>ROA</t>
    </r>
    <r>
      <rPr>
        <sz val="10"/>
        <color rgb="FF0A0A0A"/>
        <rFont val="Arial"/>
        <family val="2"/>
      </rPr>
      <t> в упрощенных моделях анализа. Это дает общее представление о том, насколько доходность всего имущества предприятия покрывает среднюю стоимость его финансирования.</t>
    </r>
  </si>
  <si>
    <t>Показатель ВНД сравнивается с барьерной ставкой WACC отрасли. Проект эффективен, если ВНД &gt; WACC.</t>
  </si>
  <si>
    <t>Значение ставки рассчитывается через  функцию поиск параметров поиск параметров в ячейке  "Мин. Коэффициент покрытия задолженности (красный шрифт)</t>
  </si>
  <si>
    <t xml:space="preserve"> Средневзвешенная  ставка по всем заемным средствам </t>
  </si>
  <si>
    <t xml:space="preserve">Данные Лист 5, на основе Постановления Совмина №167  </t>
  </si>
  <si>
    <t xml:space="preserve"> Ежегодные выплаты (при параметрах ставках срока и суммы)</t>
  </si>
  <si>
    <t>Средневзвешенные ставки по вновь выданным кредитам (2024год)</t>
  </si>
  <si>
    <t>Рассчеты на основе данных НБРБ</t>
  </si>
  <si>
    <t>Рассчитывается среднеотраслевое значение на основе данные Белстата.</t>
  </si>
  <si>
    <t>На Листе 6 определяется максимальная ставка, которую проект может выдержать, сохраняя при этом безопасный уровень DSCR 1,5.</t>
  </si>
  <si>
    <t xml:space="preserve">Комментарий </t>
  </si>
  <si>
    <t xml:space="preserve">Внутренняя норма доходности (ВНД) </t>
  </si>
  <si>
    <t>Погашение + Проценты × (1 – Флаг капитализации) [стр.55 + стр.54 × (1 – стр.58)]</t>
  </si>
  <si>
    <t>Сумма на начало + Выдачи – Погашение + Проценты × Флаг капитализации [стр.51 + стр.52 – стр.55 + стр.54 × стр.58]</t>
  </si>
  <si>
    <t>Ставка × Остаток обязательств на начало [стр.63 × стр.60]</t>
  </si>
  <si>
    <t>Аванс + Погашение + Выкупная стоимость + Проценты × (1 – Флаг капитализации) [стр.62 + стр.65 + стр.66 + стр.64 × (1 – стр.69)]</t>
  </si>
  <si>
    <t xml:space="preserve"> EBITDA_ стресс -ставка налога*EBITDA - стресс CAPEX+ изменения оборотного капитала [стр.11-стр.9*стр.110-стр.111+стр.13]</t>
  </si>
  <si>
    <t>Расчёт  процентных платежей  по Стресс ставке  [стр 110*стр.111]</t>
  </si>
  <si>
    <t>сумма рублёвых кредитов + займы других организаций + лизинг +  долговые ценные бумаги  + прошлые кредиты + валютные кредиты*(1+FX) [стр.30+стр.51+стр.60+стр.70+стр.85  +  стр.40⋅(1+стр.104)]</t>
  </si>
  <si>
    <t xml:space="preserve">Процентные платежи+ погашение основного  долга [стр.109+стр.110] </t>
  </si>
  <si>
    <t xml:space="preserve">Долгосрочные активы_база + Стресс_CAPEX [стр.19+стр.113] </t>
  </si>
  <si>
    <t xml:space="preserve">Краткосрочные активы стресс / Краткосрочные обязательства [стр.119/стр.18] </t>
  </si>
  <si>
    <t xml:space="preserve">Стресс EBITDA / Стресс Проценты [стр.108/стр.112] </t>
  </si>
  <si>
    <t>Денежный поток /( Погашение основного долга + погашение процентов по всем заемным средствам)  [стр.14/(стр.35+стр.47+стр.56+стр.67+стр.76+стр.84+стр.89)]</t>
  </si>
  <si>
    <t>Операционная прибыль /процентные платежи [(стр.7+стр.6)/(стр.6)]</t>
  </si>
  <si>
    <t>(1+(Ставка_вал+прирост ставки))⋅(1+FX)−1 [(1+(стр.42+стр.98))*(1+стр. 104)-1]</t>
  </si>
  <si>
    <t xml:space="preserve"> краткосроч_активы_база × Доля_активов в валюте × (1 + FX_эффект) + краткосрочные активы_база × Доля_ативов в нац. валюте [стр.17*стр.118*(1+стр.104)+стр.17*(1-стр.118)] </t>
  </si>
  <si>
    <t xml:space="preserve">Долгосрочные активы  стресс + Краткосрочные активы [стр.117+стр.119] </t>
  </si>
  <si>
    <t xml:space="preserve">Стрессовый денежный поток / Платежи по долгу( процентные платежи+ погашение тела долга) [стр.114/стр.115] </t>
  </si>
  <si>
    <t>Ставка × Сумма займа на начало [стр.53 × стр.51]</t>
  </si>
  <si>
    <t>Платежи в валюте × курс [стр.46 × стр.39]</t>
  </si>
  <si>
    <t>Остаток в валюте × курс [стр.48 × стр.39]</t>
  </si>
  <si>
    <t>Остаток на начало + Выдачи – Погашение + Проценты × Флаг капитализации [стр.30 + стр.31 – стр.34 + стр.33 × стр.37]</t>
  </si>
  <si>
    <t>Комментарии</t>
  </si>
  <si>
    <t>1-й год проекта</t>
  </si>
  <si>
    <t>2-й год проекта</t>
  </si>
  <si>
    <t>3-й год проекта</t>
  </si>
  <si>
    <t>0-й год проекта</t>
  </si>
  <si>
    <t xml:space="preserve">Отчета о прибылях и убытках: OPEX = Себестоимость реализованной продукции (стр. 020) + Управленческие расходы (стр. 040) + Расходы на реализацию (стр. 050)                                                                                            </t>
  </si>
  <si>
    <t>сумма строк [стр.4 + стр.5]</t>
  </si>
  <si>
    <t xml:space="preserve">1. Параметры кредита в национальной валюте </t>
  </si>
  <si>
    <t>Рост операционных расходов (OPEX, %)</t>
  </si>
  <si>
    <t>Рост ставки по валютным кредитам (п.п.)</t>
  </si>
  <si>
    <t>Краткосрочные активы стресс (корректировка на импортную составляющую)</t>
  </si>
  <si>
    <t>Стресс активы</t>
  </si>
  <si>
    <t>Стресс долгосрочные обязательства</t>
  </si>
  <si>
    <t>Стресс коэффициент покрытия задолженности</t>
  </si>
  <si>
    <t>Чувствительность NPV (ΔNPV)</t>
  </si>
  <si>
    <t xml:space="preserve">Стресс NPV </t>
  </si>
  <si>
    <t>Доля  платежей по долгу по годам (стресс)</t>
  </si>
  <si>
    <t>(краткосрочные активы – краткосрочные обязательства на начало периода) – (краткосрочные активы – краткосрочные обязательства на конец периода)</t>
  </si>
  <si>
    <t>WACC – денежные потоки</t>
  </si>
  <si>
    <t>денежные потоки</t>
  </si>
  <si>
    <t>Текущие (операционные) расходы (OPEX)</t>
  </si>
  <si>
    <t xml:space="preserve">Мин. Коэффициент покрытия задолженности (DSCR)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</si>
</sst>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0;[Red]#,##0.00"/>
  </numFmts>
  <fonts count="3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name val="Arial Black"/>
      <family val="2"/>
    </font>
    <font>
      <sz val="10"/>
      <color rgb="FF0A0A0A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rgb="FFFF0000"/>
      <name val="Arial Unicode MS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 Unicode MS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0"/>
      <color rgb="FF0A0A0A"/>
      <name val="Arial"/>
      <family val="2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/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/>
    <xf numFmtId="0" fontId="9" fillId="0" borderId="0" xfId="0" applyFont="1"/>
    <xf numFmtId="9" fontId="0" fillId="0" borderId="0" xfId="0" applyNumberFormat="1"/>
    <xf numFmtId="0" fontId="10" fillId="0" borderId="0" xfId="0" applyFont="1"/>
    <xf numFmtId="0" fontId="12" fillId="0" borderId="0" xfId="0" applyFont="1"/>
    <xf numFmtId="0" fontId="0" fillId="0" borderId="0" xfId="0" applyNumberFormat="1"/>
    <xf numFmtId="164" fontId="0" fillId="0" borderId="0" xfId="0" applyNumberForma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2" fontId="10" fillId="0" borderId="0" xfId="0" applyNumberFormat="1" applyFont="1"/>
    <xf numFmtId="165" fontId="0" fillId="0" borderId="0" xfId="0" applyNumberFormat="1" applyFont="1"/>
    <xf numFmtId="10" fontId="0" fillId="0" borderId="0" xfId="0" applyNumberFormat="1"/>
    <xf numFmtId="10" fontId="6" fillId="0" borderId="0" xfId="0" applyNumberFormat="1" applyFont="1"/>
    <xf numFmtId="10" fontId="11" fillId="0" borderId="0" xfId="0" applyNumberFormat="1" applyFont="1" applyAlignment="1">
      <alignment vertical="center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vertical="center"/>
    </xf>
    <xf numFmtId="1" fontId="0" fillId="0" borderId="0" xfId="0" applyNumberForma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8" fillId="0" borderId="0" xfId="0" applyFont="1"/>
    <xf numFmtId="0" fontId="0" fillId="0" borderId="0" xfId="0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 wrapText="1"/>
    </xf>
    <xf numFmtId="165" fontId="10" fillId="0" borderId="0" xfId="0" applyNumberFormat="1" applyFont="1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0" fillId="0" borderId="0" xfId="0" applyFill="1" applyAlignment="1">
      <alignment vertical="center"/>
    </xf>
    <xf numFmtId="0" fontId="12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0" fillId="0" borderId="0" xfId="0" applyFill="1" applyAlignment="1">
      <alignment horizontal="left" vertical="center" indent="1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10" fillId="2" borderId="0" xfId="0" applyFont="1" applyFill="1"/>
    <xf numFmtId="165" fontId="17" fillId="2" borderId="0" xfId="0" applyNumberFormat="1" applyFont="1" applyFill="1" applyAlignment="1">
      <alignment vertical="center" wrapText="1"/>
    </xf>
    <xf numFmtId="0" fontId="17" fillId="2" borderId="0" xfId="0" applyFont="1" applyFill="1"/>
    <xf numFmtId="9" fontId="17" fillId="2" borderId="0" xfId="0" applyNumberFormat="1" applyFont="1" applyFill="1" applyAlignment="1">
      <alignment vertical="center" wrapText="1"/>
    </xf>
    <xf numFmtId="164" fontId="17" fillId="2" borderId="0" xfId="0" applyNumberFormat="1" applyFont="1" applyFill="1"/>
    <xf numFmtId="0" fontId="22" fillId="2" borderId="0" xfId="0" applyFont="1" applyFill="1" applyAlignment="1">
      <alignment vertical="center" wrapText="1"/>
    </xf>
    <xf numFmtId="165" fontId="17" fillId="2" borderId="0" xfId="0" applyNumberFormat="1" applyFont="1" applyFill="1"/>
    <xf numFmtId="1" fontId="17" fillId="2" borderId="0" xfId="0" applyNumberFormat="1" applyFont="1" applyFill="1"/>
    <xf numFmtId="0" fontId="0" fillId="2" borderId="0" xfId="0" applyFill="1"/>
    <xf numFmtId="10" fontId="22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vertical="center"/>
    </xf>
    <xf numFmtId="2" fontId="22" fillId="2" borderId="0" xfId="0" applyNumberFormat="1" applyFont="1" applyFill="1" applyAlignment="1">
      <alignment vertical="center"/>
    </xf>
    <xf numFmtId="2" fontId="17" fillId="2" borderId="0" xfId="0" applyNumberFormat="1" applyFont="1" applyFill="1"/>
    <xf numFmtId="0" fontId="0" fillId="2" borderId="0" xfId="0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165" fontId="23" fillId="2" borderId="0" xfId="0" applyNumberFormat="1" applyFont="1" applyFill="1" applyAlignment="1">
      <alignment vertical="center" wrapText="1"/>
    </xf>
    <xf numFmtId="2" fontId="17" fillId="2" borderId="0" xfId="0" applyNumberFormat="1" applyFont="1" applyFill="1" applyAlignment="1">
      <alignment vertical="center" wrapText="1"/>
    </xf>
    <xf numFmtId="9" fontId="17" fillId="2" borderId="0" xfId="0" applyNumberFormat="1" applyFont="1" applyFill="1"/>
    <xf numFmtId="164" fontId="17" fillId="2" borderId="0" xfId="0" applyNumberFormat="1" applyFont="1" applyFill="1" applyAlignment="1">
      <alignment vertical="center" wrapText="1"/>
    </xf>
    <xf numFmtId="1" fontId="17" fillId="2" borderId="0" xfId="0" applyNumberFormat="1" applyFont="1" applyFill="1" applyAlignment="1">
      <alignment vertical="center" wrapText="1"/>
    </xf>
    <xf numFmtId="166" fontId="17" fillId="2" borderId="0" xfId="0" applyNumberFormat="1" applyFont="1" applyFill="1"/>
    <xf numFmtId="2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10" fontId="17" fillId="2" borderId="0" xfId="0" applyNumberFormat="1" applyFon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10" fontId="6" fillId="2" borderId="0" xfId="0" applyNumberFormat="1" applyFont="1" applyFill="1" applyAlignment="1">
      <alignment vertical="center" wrapText="1"/>
    </xf>
    <xf numFmtId="10" fontId="0" fillId="2" borderId="0" xfId="0" applyNumberFormat="1" applyFill="1"/>
    <xf numFmtId="0" fontId="1" fillId="2" borderId="0" xfId="0" applyFont="1" applyFill="1" applyAlignment="1">
      <alignment horizontal="center" vertical="center" wrapText="1"/>
    </xf>
    <xf numFmtId="2" fontId="7" fillId="2" borderId="4" xfId="0" applyNumberFormat="1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24" fillId="2" borderId="0" xfId="0" applyFont="1" applyFill="1" applyAlignment="1">
      <alignment horizontal="center" vertical="center" wrapText="1"/>
    </xf>
    <xf numFmtId="0" fontId="25" fillId="0" borderId="0" xfId="0" applyFont="1"/>
    <xf numFmtId="0" fontId="5" fillId="0" borderId="0" xfId="0" applyFont="1"/>
    <xf numFmtId="0" fontId="7" fillId="0" borderId="1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2" fontId="7" fillId="0" borderId="4" xfId="0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2" fontId="26" fillId="2" borderId="4" xfId="0" applyNumberFormat="1" applyFont="1" applyFill="1" applyBorder="1" applyAlignment="1">
      <alignment vertical="center" wrapText="1"/>
    </xf>
    <xf numFmtId="2" fontId="0" fillId="0" borderId="0" xfId="0" applyNumberFormat="1"/>
    <xf numFmtId="165" fontId="17" fillId="0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2" fontId="0" fillId="0" borderId="0" xfId="0" applyNumberFormat="1" applyAlignment="1">
      <alignment wrapText="1"/>
    </xf>
    <xf numFmtId="10" fontId="7" fillId="2" borderId="0" xfId="0" applyNumberFormat="1" applyFont="1" applyFill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10" fontId="0" fillId="3" borderId="0" xfId="0" applyNumberFormat="1" applyFill="1"/>
    <xf numFmtId="0" fontId="0" fillId="3" borderId="0" xfId="0" applyFill="1"/>
    <xf numFmtId="2" fontId="0" fillId="0" borderId="0" xfId="0" applyNumberFormat="1" applyAlignment="1">
      <alignment vertical="center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12" fillId="0" borderId="0" xfId="0" applyFont="1" applyAlignment="1">
      <alignment vertical="center" wrapText="1"/>
    </xf>
    <xf numFmtId="0" fontId="6" fillId="0" borderId="0" xfId="0" applyFont="1" applyAlignment="1">
      <alignment horizontal="center"/>
    </xf>
  </cellXfs>
  <cellStyles count="2">
    <cellStyle name="Обычный" xfId="0" builtinId="0"/>
    <cellStyle name="Обычный 2" xfId="1" xr:uid="{DFF9E03D-CB81-49DD-BE57-D7861A557593}"/>
  </cellStyles>
  <dxfs count="1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79</xdr:row>
          <xdr:rowOff>152400</xdr:rowOff>
        </xdr:from>
        <xdr:to>
          <xdr:col>4</xdr:col>
          <xdr:colOff>1317625</xdr:colOff>
          <xdr:row>106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112</xdr:row>
          <xdr:rowOff>174625</xdr:rowOff>
        </xdr:from>
        <xdr:to>
          <xdr:col>4</xdr:col>
          <xdr:colOff>3298825</xdr:colOff>
          <xdr:row>168</xdr:row>
          <xdr:rowOff>6350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12FF-636F-4F3B-9C84-1C720A479AC2}">
  <dimension ref="A1:E75"/>
  <sheetViews>
    <sheetView tabSelected="1" workbookViewId="0">
      <selection activeCell="B69" sqref="B69"/>
    </sheetView>
  </sheetViews>
  <sheetFormatPr defaultColWidth="8.86328125" defaultRowHeight="16"/>
  <cols>
    <col min="1" max="1" width="46.31640625" style="24" customWidth="1"/>
    <col min="2" max="2" width="27.6796875" style="24" customWidth="1"/>
    <col min="3" max="3" width="25.08984375" style="24" customWidth="1"/>
    <col min="4" max="4" width="34.2265625" style="24" customWidth="1"/>
    <col min="5" max="5" width="51.2265625" style="24" customWidth="1"/>
    <col min="6" max="16384" width="8.86328125" style="24"/>
  </cols>
  <sheetData>
    <row r="1" spans="1:5" ht="20.25">
      <c r="A1" s="10" t="s">
        <v>662</v>
      </c>
    </row>
    <row r="2" spans="1:5">
      <c r="A2" s="9" t="s">
        <v>0</v>
      </c>
      <c r="B2" s="9" t="s">
        <v>663</v>
      </c>
      <c r="C2" s="9" t="s">
        <v>634</v>
      </c>
      <c r="D2" s="9" t="s">
        <v>568</v>
      </c>
      <c r="E2" s="9" t="s">
        <v>938</v>
      </c>
    </row>
    <row r="3" spans="1:5" ht="95.4" customHeight="1">
      <c r="A3" s="9" t="s">
        <v>664</v>
      </c>
      <c r="B3" s="9" t="s">
        <v>567</v>
      </c>
      <c r="C3" s="9" t="s">
        <v>633</v>
      </c>
      <c r="D3" s="9" t="s">
        <v>688</v>
      </c>
      <c r="E3" s="9" t="s">
        <v>910</v>
      </c>
    </row>
    <row r="4" spans="1:5" ht="29.5">
      <c r="A4" s="9" t="s">
        <v>642</v>
      </c>
      <c r="B4" s="9" t="s">
        <v>567</v>
      </c>
      <c r="C4" s="9" t="s">
        <v>633</v>
      </c>
      <c r="D4" s="9" t="s">
        <v>688</v>
      </c>
      <c r="E4" s="9"/>
    </row>
    <row r="5" spans="1:5" ht="29.5">
      <c r="A5" s="9" t="s">
        <v>539</v>
      </c>
      <c r="B5" s="9" t="s">
        <v>567</v>
      </c>
      <c r="C5" s="9" t="s">
        <v>633</v>
      </c>
      <c r="D5" s="9" t="s">
        <v>688</v>
      </c>
      <c r="E5" s="9"/>
    </row>
    <row r="6" spans="1:5" ht="29.5">
      <c r="A6" s="9" t="s">
        <v>540</v>
      </c>
      <c r="B6" s="9" t="s">
        <v>567</v>
      </c>
      <c r="C6" s="9" t="s">
        <v>633</v>
      </c>
      <c r="D6" s="9" t="s">
        <v>688</v>
      </c>
      <c r="E6" s="9"/>
    </row>
    <row r="7" spans="1:5" ht="29.5">
      <c r="A7" s="9" t="s">
        <v>541</v>
      </c>
      <c r="B7" s="9" t="s">
        <v>567</v>
      </c>
      <c r="C7" s="9" t="s">
        <v>633</v>
      </c>
      <c r="D7" s="9" t="s">
        <v>688</v>
      </c>
      <c r="E7" s="9"/>
    </row>
    <row r="8" spans="1:5" ht="29.5">
      <c r="A8" s="9" t="s">
        <v>542</v>
      </c>
      <c r="B8" s="9" t="s">
        <v>903</v>
      </c>
      <c r="C8" s="9" t="s">
        <v>633</v>
      </c>
      <c r="D8" s="9" t="s">
        <v>688</v>
      </c>
      <c r="E8" s="9"/>
    </row>
    <row r="9" spans="1:5" ht="29.5">
      <c r="A9" s="9" t="s">
        <v>909</v>
      </c>
      <c r="B9" s="9" t="s">
        <v>903</v>
      </c>
      <c r="C9" s="9" t="s">
        <v>633</v>
      </c>
      <c r="D9" s="9" t="s">
        <v>687</v>
      </c>
      <c r="E9" s="9"/>
    </row>
    <row r="10" spans="1:5" ht="59">
      <c r="A10" s="9" t="s">
        <v>685</v>
      </c>
      <c r="B10" s="9" t="s">
        <v>686</v>
      </c>
      <c r="C10" s="9" t="s">
        <v>633</v>
      </c>
      <c r="D10" s="9" t="s">
        <v>689</v>
      </c>
      <c r="E10" s="9" t="s">
        <v>919</v>
      </c>
    </row>
    <row r="11" spans="1:5" ht="97.9" customHeight="1">
      <c r="A11" s="9" t="s">
        <v>665</v>
      </c>
      <c r="B11" s="9" t="s">
        <v>903</v>
      </c>
      <c r="C11" s="9" t="s">
        <v>633</v>
      </c>
      <c r="D11" s="9" t="s">
        <v>689</v>
      </c>
      <c r="E11" s="9" t="s">
        <v>920</v>
      </c>
    </row>
    <row r="12" spans="1:5" ht="131.4" customHeight="1">
      <c r="A12" s="9" t="s">
        <v>908</v>
      </c>
      <c r="B12" s="9" t="s">
        <v>917</v>
      </c>
      <c r="C12" s="9" t="s">
        <v>633</v>
      </c>
      <c r="D12" s="9" t="s">
        <v>689</v>
      </c>
      <c r="E12" s="9" t="s">
        <v>922</v>
      </c>
    </row>
    <row r="13" spans="1:5" ht="44.25">
      <c r="A13" s="9" t="s">
        <v>918</v>
      </c>
      <c r="B13" s="9" t="s">
        <v>917</v>
      </c>
      <c r="C13" s="9" t="s">
        <v>633</v>
      </c>
      <c r="D13" s="9" t="s">
        <v>689</v>
      </c>
      <c r="E13" s="9"/>
    </row>
    <row r="14" spans="1:5">
      <c r="A14" s="9" t="s">
        <v>584</v>
      </c>
      <c r="B14" s="9"/>
      <c r="C14" s="9" t="s">
        <v>633</v>
      </c>
      <c r="D14" s="9" t="s">
        <v>689</v>
      </c>
      <c r="E14" s="9"/>
    </row>
    <row r="15" spans="1:5">
      <c r="A15" s="9" t="s">
        <v>533</v>
      </c>
      <c r="B15" s="9"/>
      <c r="C15" s="9" t="s">
        <v>633</v>
      </c>
      <c r="D15" s="9" t="s">
        <v>689</v>
      </c>
      <c r="E15" s="9"/>
    </row>
    <row r="16" spans="1:5">
      <c r="A16" s="9" t="s">
        <v>674</v>
      </c>
      <c r="B16" s="9"/>
      <c r="C16" s="9" t="s">
        <v>633</v>
      </c>
      <c r="D16" s="9" t="s">
        <v>689</v>
      </c>
      <c r="E16" s="9"/>
    </row>
    <row r="17" spans="1:5">
      <c r="A17" s="94" t="s">
        <v>906</v>
      </c>
      <c r="B17" s="9"/>
      <c r="C17" s="9"/>
      <c r="D17" s="9"/>
      <c r="E17" s="9"/>
    </row>
    <row r="18" spans="1:5">
      <c r="A18" s="9" t="s">
        <v>863</v>
      </c>
      <c r="B18" s="9"/>
      <c r="C18" s="9" t="s">
        <v>633</v>
      </c>
      <c r="D18" s="9" t="s">
        <v>689</v>
      </c>
      <c r="E18" s="9"/>
    </row>
    <row r="19" spans="1:5">
      <c r="A19" s="9" t="s">
        <v>640</v>
      </c>
      <c r="B19" s="9"/>
      <c r="C19" s="9" t="s">
        <v>633</v>
      </c>
      <c r="D19" s="9" t="s">
        <v>689</v>
      </c>
      <c r="E19" s="9"/>
    </row>
    <row r="20" spans="1:5">
      <c r="A20" s="9" t="s">
        <v>586</v>
      </c>
      <c r="B20" s="9"/>
      <c r="C20" s="9" t="s">
        <v>633</v>
      </c>
      <c r="D20" s="9" t="s">
        <v>689</v>
      </c>
      <c r="E20" s="9"/>
    </row>
    <row r="21" spans="1:5">
      <c r="A21" s="9" t="s">
        <v>641</v>
      </c>
      <c r="B21" s="9"/>
      <c r="C21" s="9" t="s">
        <v>633</v>
      </c>
      <c r="D21" s="9" t="s">
        <v>689</v>
      </c>
      <c r="E21" s="9"/>
    </row>
    <row r="22" spans="1:5">
      <c r="A22" s="9" t="s">
        <v>628</v>
      </c>
      <c r="B22" s="9"/>
      <c r="C22" s="9" t="s">
        <v>633</v>
      </c>
      <c r="D22" s="9" t="s">
        <v>689</v>
      </c>
      <c r="E22" s="9"/>
    </row>
    <row r="23" spans="1:5">
      <c r="A23" s="91" t="s">
        <v>905</v>
      </c>
      <c r="B23" s="9"/>
      <c r="C23" s="9" t="s">
        <v>633</v>
      </c>
      <c r="D23" s="9" t="s">
        <v>689</v>
      </c>
      <c r="E23" s="9"/>
    </row>
    <row r="24" spans="1:5">
      <c r="A24" s="9" t="s">
        <v>911</v>
      </c>
      <c r="B24" s="9"/>
      <c r="C24" s="9" t="s">
        <v>633</v>
      </c>
      <c r="D24" s="9" t="s">
        <v>689</v>
      </c>
      <c r="E24" s="9"/>
    </row>
    <row r="25" spans="1:5">
      <c r="A25" s="2" t="s">
        <v>897</v>
      </c>
      <c r="B25" s="9"/>
      <c r="C25" s="9" t="s">
        <v>633</v>
      </c>
      <c r="D25" s="9" t="s">
        <v>689</v>
      </c>
      <c r="E25" s="9"/>
    </row>
    <row r="26" spans="1:5">
      <c r="A26" s="2" t="s">
        <v>898</v>
      </c>
      <c r="B26" s="9"/>
      <c r="C26" s="9" t="s">
        <v>633</v>
      </c>
      <c r="D26" s="9" t="s">
        <v>689</v>
      </c>
    </row>
    <row r="27" spans="1:5">
      <c r="A27" s="2" t="s">
        <v>728</v>
      </c>
      <c r="B27" s="9"/>
      <c r="C27" s="9" t="s">
        <v>633</v>
      </c>
      <c r="D27" s="9" t="s">
        <v>689</v>
      </c>
      <c r="E27" s="2"/>
    </row>
    <row r="28" spans="1:5">
      <c r="A28" s="91" t="s">
        <v>864</v>
      </c>
      <c r="B28" s="9"/>
      <c r="C28" s="9"/>
      <c r="D28" s="9"/>
    </row>
    <row r="29" spans="1:5">
      <c r="A29" s="2" t="s">
        <v>714</v>
      </c>
      <c r="B29" s="9"/>
      <c r="C29" s="9" t="s">
        <v>633</v>
      </c>
      <c r="D29" s="9" t="s">
        <v>689</v>
      </c>
      <c r="E29" s="9"/>
    </row>
    <row r="30" spans="1:5">
      <c r="A30" s="2" t="s">
        <v>720</v>
      </c>
      <c r="B30" s="9"/>
      <c r="C30" s="9" t="s">
        <v>633</v>
      </c>
      <c r="D30" s="9" t="s">
        <v>689</v>
      </c>
      <c r="E30" s="9"/>
    </row>
    <row r="31" spans="1:5">
      <c r="A31" s="2" t="s">
        <v>715</v>
      </c>
      <c r="B31" s="9"/>
      <c r="C31" s="9" t="s">
        <v>633</v>
      </c>
      <c r="D31" s="9" t="s">
        <v>689</v>
      </c>
      <c r="E31" s="9"/>
    </row>
    <row r="32" spans="1:5">
      <c r="A32" s="2" t="s">
        <v>898</v>
      </c>
      <c r="B32" s="9"/>
      <c r="C32" s="9" t="s">
        <v>633</v>
      </c>
      <c r="D32" s="9" t="s">
        <v>689</v>
      </c>
      <c r="E32" s="9"/>
    </row>
    <row r="33" spans="1:5">
      <c r="A33" s="2" t="s">
        <v>722</v>
      </c>
      <c r="B33" s="9"/>
      <c r="C33" s="9" t="s">
        <v>633</v>
      </c>
      <c r="D33" s="9" t="s">
        <v>689</v>
      </c>
      <c r="E33" s="9"/>
    </row>
    <row r="34" spans="1:5">
      <c r="A34" s="44" t="s">
        <v>912</v>
      </c>
      <c r="B34" s="9"/>
      <c r="C34" s="9"/>
      <c r="D34" s="9"/>
      <c r="E34" s="9"/>
    </row>
    <row r="35" spans="1:5">
      <c r="A35" s="2" t="s">
        <v>730</v>
      </c>
      <c r="B35" s="9"/>
      <c r="C35" s="9" t="s">
        <v>633</v>
      </c>
      <c r="D35" s="9" t="s">
        <v>689</v>
      </c>
      <c r="E35" s="9"/>
    </row>
    <row r="36" spans="1:5">
      <c r="A36" s="2" t="s">
        <v>731</v>
      </c>
      <c r="B36" s="9"/>
      <c r="C36" s="9" t="s">
        <v>633</v>
      </c>
      <c r="D36" s="9" t="s">
        <v>689</v>
      </c>
      <c r="E36" s="9"/>
    </row>
    <row r="37" spans="1:5">
      <c r="A37" s="2" t="s">
        <v>732</v>
      </c>
      <c r="B37" s="9"/>
      <c r="C37" s="9" t="s">
        <v>633</v>
      </c>
      <c r="D37" s="9" t="s">
        <v>689</v>
      </c>
      <c r="E37" s="9"/>
    </row>
    <row r="38" spans="1:5">
      <c r="A38" s="2" t="s">
        <v>734</v>
      </c>
      <c r="B38" s="9"/>
      <c r="C38" s="9" t="s">
        <v>633</v>
      </c>
      <c r="D38" s="9" t="s">
        <v>689</v>
      </c>
      <c r="E38" s="9"/>
    </row>
    <row r="39" spans="1:5">
      <c r="A39" s="2" t="s">
        <v>733</v>
      </c>
      <c r="B39" s="9"/>
      <c r="E39" s="9"/>
    </row>
    <row r="40" spans="1:5">
      <c r="A40" s="44" t="s">
        <v>913</v>
      </c>
      <c r="B40" s="9"/>
      <c r="C40" s="9" t="s">
        <v>633</v>
      </c>
      <c r="D40" s="9" t="s">
        <v>689</v>
      </c>
      <c r="E40" s="9"/>
    </row>
    <row r="41" spans="1:5">
      <c r="A41" s="2" t="s">
        <v>736</v>
      </c>
      <c r="B41" s="9"/>
      <c r="C41" s="9" t="s">
        <v>633</v>
      </c>
      <c r="D41" s="9" t="s">
        <v>689</v>
      </c>
      <c r="E41" s="9"/>
    </row>
    <row r="42" spans="1:5">
      <c r="A42" s="2" t="s">
        <v>738</v>
      </c>
      <c r="B42" s="9"/>
      <c r="C42" s="9" t="s">
        <v>633</v>
      </c>
      <c r="D42" s="9" t="s">
        <v>689</v>
      </c>
      <c r="E42" s="9"/>
    </row>
    <row r="43" spans="1:5">
      <c r="A43" s="2" t="s">
        <v>740</v>
      </c>
      <c r="B43" s="9"/>
      <c r="C43" s="9" t="s">
        <v>633</v>
      </c>
      <c r="D43" s="9" t="s">
        <v>689</v>
      </c>
      <c r="E43" s="9"/>
    </row>
    <row r="44" spans="1:5" ht="29.75">
      <c r="A44" s="44" t="s">
        <v>914</v>
      </c>
      <c r="B44" s="9"/>
      <c r="C44" s="9"/>
      <c r="D44" s="9"/>
      <c r="E44" s="9"/>
    </row>
    <row r="45" spans="1:5">
      <c r="A45" s="2" t="s">
        <v>765</v>
      </c>
      <c r="B45" s="9"/>
      <c r="C45" s="9"/>
      <c r="D45" s="9"/>
      <c r="E45" s="9"/>
    </row>
    <row r="46" spans="1:5">
      <c r="A46" s="2" t="s">
        <v>766</v>
      </c>
      <c r="B46" s="9"/>
      <c r="C46" s="9"/>
      <c r="D46" s="9"/>
      <c r="E46" s="9"/>
    </row>
    <row r="47" spans="1:5">
      <c r="A47" s="2" t="s">
        <v>898</v>
      </c>
      <c r="B47" s="9"/>
      <c r="C47" s="9"/>
      <c r="D47" s="9"/>
      <c r="E47" s="9"/>
    </row>
    <row r="48" spans="1:5">
      <c r="A48" s="9"/>
      <c r="B48" s="9"/>
      <c r="C48" s="9"/>
      <c r="D48" s="9"/>
      <c r="E48" s="9"/>
    </row>
    <row r="49" spans="1:5" ht="20.25">
      <c r="A49" s="10" t="s">
        <v>666</v>
      </c>
      <c r="B49" s="9"/>
      <c r="C49" s="9"/>
      <c r="D49" s="9"/>
      <c r="E49" s="9"/>
    </row>
    <row r="50" spans="1:5">
      <c r="A50" s="94" t="s">
        <v>673</v>
      </c>
      <c r="B50" s="94" t="s">
        <v>590</v>
      </c>
      <c r="C50" s="94" t="s">
        <v>569</v>
      </c>
      <c r="D50" s="9"/>
      <c r="E50" s="9"/>
    </row>
    <row r="51" spans="1:5">
      <c r="A51" s="9" t="s">
        <v>667</v>
      </c>
      <c r="B51" s="9" t="s">
        <v>668</v>
      </c>
      <c r="C51" s="9" t="s">
        <v>591</v>
      </c>
      <c r="D51" s="9"/>
      <c r="E51" s="9"/>
    </row>
    <row r="52" spans="1:5">
      <c r="A52" s="9" t="s">
        <v>669</v>
      </c>
      <c r="B52" s="9" t="s">
        <v>541</v>
      </c>
      <c r="C52" s="9" t="s">
        <v>592</v>
      </c>
      <c r="D52" s="9"/>
      <c r="E52" s="9"/>
    </row>
    <row r="53" spans="1:5">
      <c r="A53" s="9" t="s">
        <v>670</v>
      </c>
      <c r="B53" s="9" t="s">
        <v>671</v>
      </c>
      <c r="C53" s="9" t="s">
        <v>592</v>
      </c>
      <c r="D53" s="9"/>
      <c r="E53" s="9"/>
    </row>
    <row r="54" spans="1:5">
      <c r="A54" s="9" t="s">
        <v>594</v>
      </c>
      <c r="B54" s="9" t="s">
        <v>539</v>
      </c>
      <c r="C54" s="9" t="s">
        <v>865</v>
      </c>
      <c r="D54" s="9"/>
      <c r="E54" s="9"/>
    </row>
    <row r="55" spans="1:5" ht="44.25">
      <c r="A55" s="9" t="s">
        <v>595</v>
      </c>
      <c r="B55" s="9" t="s">
        <v>610</v>
      </c>
      <c r="C55" s="9" t="s">
        <v>672</v>
      </c>
      <c r="D55" s="9"/>
      <c r="E55" s="9"/>
    </row>
    <row r="56" spans="1:5" ht="44.25">
      <c r="A56" s="9" t="s">
        <v>677</v>
      </c>
      <c r="B56" s="9" t="s">
        <v>676</v>
      </c>
      <c r="C56" s="9" t="s">
        <v>862</v>
      </c>
      <c r="D56" s="9"/>
      <c r="E56" s="9"/>
    </row>
    <row r="57" spans="1:5" ht="73.75">
      <c r="A57" s="36" t="s">
        <v>915</v>
      </c>
      <c r="B57" s="36" t="s">
        <v>596</v>
      </c>
      <c r="C57" s="93" t="s">
        <v>904</v>
      </c>
      <c r="D57" s="92"/>
    </row>
    <row r="58" spans="1:5">
      <c r="A58" s="9" t="s">
        <v>597</v>
      </c>
      <c r="B58" s="9" t="s">
        <v>598</v>
      </c>
      <c r="C58" s="9" t="s">
        <v>599</v>
      </c>
      <c r="D58" s="9"/>
      <c r="E58" s="9"/>
    </row>
    <row r="59" spans="1:5" ht="29.5">
      <c r="A59" s="9" t="s">
        <v>600</v>
      </c>
      <c r="B59" s="9" t="s">
        <v>601</v>
      </c>
      <c r="C59" s="9" t="s">
        <v>602</v>
      </c>
      <c r="D59" s="9"/>
      <c r="E59" s="9"/>
    </row>
    <row r="60" spans="1:5" ht="29.5">
      <c r="A60" s="9" t="s">
        <v>578</v>
      </c>
      <c r="B60" s="9" t="s">
        <v>603</v>
      </c>
      <c r="C60" s="9" t="s">
        <v>604</v>
      </c>
      <c r="D60" s="9"/>
      <c r="E60" s="9"/>
    </row>
    <row r="61" spans="1:5" ht="59">
      <c r="A61" s="9" t="s">
        <v>681</v>
      </c>
      <c r="B61" s="9" t="s">
        <v>570</v>
      </c>
      <c r="C61" s="9" t="s">
        <v>866</v>
      </c>
      <c r="D61" s="9"/>
      <c r="E61" s="9"/>
    </row>
    <row r="62" spans="1:5" ht="44.25">
      <c r="A62" s="9" t="s">
        <v>605</v>
      </c>
      <c r="B62" s="9" t="s">
        <v>606</v>
      </c>
      <c r="C62" s="9" t="s">
        <v>867</v>
      </c>
      <c r="D62" s="9"/>
      <c r="E62" s="9"/>
    </row>
    <row r="63" spans="1:5" ht="44.25">
      <c r="A63" s="9" t="s">
        <v>607</v>
      </c>
      <c r="B63" s="9" t="s">
        <v>608</v>
      </c>
      <c r="C63" s="9" t="s">
        <v>682</v>
      </c>
      <c r="D63" s="9"/>
      <c r="E63" s="9"/>
    </row>
    <row r="64" spans="1:5">
      <c r="A64" s="9"/>
      <c r="B64" s="9"/>
      <c r="C64" s="9"/>
      <c r="D64" s="9"/>
      <c r="E64" s="9"/>
    </row>
    <row r="65" spans="1:4" ht="20.25">
      <c r="A65" s="10" t="s">
        <v>916</v>
      </c>
    </row>
    <row r="66" spans="1:4">
      <c r="C66"/>
      <c r="D66"/>
    </row>
    <row r="67" spans="1:4">
      <c r="A67" s="1" t="s">
        <v>553</v>
      </c>
      <c r="B67" s="1" t="s">
        <v>554</v>
      </c>
      <c r="C67" s="1" t="s">
        <v>555</v>
      </c>
      <c r="D67" s="1" t="s">
        <v>569</v>
      </c>
    </row>
    <row r="68" spans="1:4" ht="59">
      <c r="A68" s="2" t="s">
        <v>551</v>
      </c>
      <c r="B68" s="2" t="s">
        <v>882</v>
      </c>
      <c r="C68" s="2" t="s">
        <v>561</v>
      </c>
      <c r="D68" s="9"/>
    </row>
    <row r="69" spans="1:4" ht="132.75">
      <c r="A69" s="2" t="s">
        <v>556</v>
      </c>
      <c r="B69" s="2" t="s">
        <v>557</v>
      </c>
      <c r="C69" s="2" t="s">
        <v>562</v>
      </c>
      <c r="D69" s="9" t="s">
        <v>572</v>
      </c>
    </row>
    <row r="70" spans="1:4" ht="73.75">
      <c r="A70" s="2" t="s">
        <v>552</v>
      </c>
      <c r="B70" s="2" t="s">
        <v>635</v>
      </c>
      <c r="C70" s="2" t="s">
        <v>563</v>
      </c>
      <c r="D70" s="9"/>
    </row>
    <row r="71" spans="1:4" ht="29.5">
      <c r="A71" s="2" t="s">
        <v>558</v>
      </c>
      <c r="B71" s="2" t="s">
        <v>564</v>
      </c>
      <c r="C71" s="2" t="s">
        <v>565</v>
      </c>
      <c r="D71" s="9"/>
    </row>
    <row r="72" spans="1:4" ht="29.5">
      <c r="A72" s="2" t="s">
        <v>559</v>
      </c>
      <c r="B72" s="2" t="s">
        <v>566</v>
      </c>
      <c r="C72" s="2" t="s">
        <v>560</v>
      </c>
      <c r="D72" s="9"/>
    </row>
    <row r="75" spans="1:4" ht="20.25">
      <c r="A75" s="10" t="s">
        <v>874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6" r:id="rId4">
          <objectPr defaultSize="0" autoPict="0" r:id="rId5">
            <anchor moveWithCells="1">
              <from>
                <xdr:col>0</xdr:col>
                <xdr:colOff>723900</xdr:colOff>
                <xdr:row>79</xdr:row>
                <xdr:rowOff>152400</xdr:rowOff>
              </from>
              <to>
                <xdr:col>4</xdr:col>
                <xdr:colOff>1317625</xdr:colOff>
                <xdr:row>106</xdr:row>
                <xdr:rowOff>152400</xdr:rowOff>
              </to>
            </anchor>
          </objectPr>
        </oleObject>
      </mc:Choice>
      <mc:Fallback>
        <oleObject progId="Word.Document.12" shapeId="1026" r:id="rId4"/>
      </mc:Fallback>
    </mc:AlternateContent>
    <mc:AlternateContent xmlns:mc="http://schemas.openxmlformats.org/markup-compatibility/2006">
      <mc:Choice Requires="x14">
        <oleObject progId="Word.Document.12" shapeId="1027" r:id="rId6">
          <objectPr defaultSize="0" autoPict="0" r:id="rId7">
            <anchor moveWithCells="1">
              <from>
                <xdr:col>0</xdr:col>
                <xdr:colOff>647700</xdr:colOff>
                <xdr:row>112</xdr:row>
                <xdr:rowOff>174625</xdr:rowOff>
              </from>
              <to>
                <xdr:col>4</xdr:col>
                <xdr:colOff>3298825</xdr:colOff>
                <xdr:row>168</xdr:row>
                <xdr:rowOff>6350</xdr:rowOff>
              </to>
            </anchor>
          </objectPr>
        </oleObject>
      </mc:Choice>
      <mc:Fallback>
        <oleObject progId="Word.Document.12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674E-1498-407C-A878-E18320ED1D84}">
  <dimension ref="A1:U29"/>
  <sheetViews>
    <sheetView workbookViewId="0">
      <selection activeCell="C2" sqref="C2"/>
    </sheetView>
  </sheetViews>
  <sheetFormatPr defaultRowHeight="14.75"/>
  <cols>
    <col min="2" max="2" width="28.08984375" customWidth="1"/>
    <col min="3" max="3" width="28.31640625" customWidth="1"/>
    <col min="4" max="4" width="13.31640625" customWidth="1"/>
    <col min="5" max="5" width="11.76953125" customWidth="1"/>
    <col min="6" max="6" width="8.6796875" customWidth="1"/>
    <col min="7" max="7" width="10.6796875" customWidth="1"/>
    <col min="8" max="8" width="9.76953125" customWidth="1"/>
    <col min="9" max="9" width="9.54296875" customWidth="1"/>
    <col min="10" max="10" width="10.31640625" customWidth="1"/>
    <col min="11" max="11" width="19.08984375" customWidth="1"/>
    <col min="12" max="12" width="15.31640625" customWidth="1"/>
    <col min="13" max="13" width="10.6796875" customWidth="1"/>
    <col min="14" max="14" width="25.76953125" customWidth="1"/>
  </cols>
  <sheetData>
    <row r="1" spans="1:21" ht="16">
      <c r="C1" s="5" t="s">
        <v>7</v>
      </c>
    </row>
    <row r="2" spans="1:21" ht="29.5">
      <c r="B2" s="4" t="s">
        <v>2</v>
      </c>
      <c r="C2" s="2" t="s">
        <v>26</v>
      </c>
      <c r="O2" s="2"/>
      <c r="P2" s="2"/>
      <c r="Q2" s="2"/>
      <c r="R2" s="2"/>
      <c r="S2" s="2"/>
      <c r="T2" s="9"/>
      <c r="U2" s="2"/>
    </row>
    <row r="3" spans="1:21" ht="18">
      <c r="B3" s="3" t="s">
        <v>881</v>
      </c>
      <c r="C3" s="3"/>
      <c r="D3" s="110" t="s">
        <v>535</v>
      </c>
      <c r="E3" s="110"/>
      <c r="F3" s="110" t="s">
        <v>536</v>
      </c>
      <c r="G3" s="110"/>
      <c r="H3" s="110" t="s">
        <v>537</v>
      </c>
      <c r="I3" s="110"/>
    </row>
    <row r="4" spans="1:21" ht="44.25">
      <c r="A4" t="s">
        <v>675</v>
      </c>
      <c r="B4" s="1" t="s">
        <v>534</v>
      </c>
      <c r="C4" s="1" t="s">
        <v>538</v>
      </c>
      <c r="D4" s="1" t="s">
        <v>883</v>
      </c>
      <c r="E4" s="1" t="s">
        <v>884</v>
      </c>
      <c r="F4" s="1" t="s">
        <v>883</v>
      </c>
      <c r="G4" s="1" t="s">
        <v>884</v>
      </c>
      <c r="H4" s="1" t="s">
        <v>883</v>
      </c>
      <c r="I4" s="1" t="s">
        <v>884</v>
      </c>
      <c r="J4" s="43" t="s">
        <v>800</v>
      </c>
      <c r="K4" s="1" t="s">
        <v>547</v>
      </c>
      <c r="L4" s="1" t="s">
        <v>548</v>
      </c>
      <c r="M4" s="1" t="s">
        <v>816</v>
      </c>
      <c r="N4" s="1" t="s">
        <v>880</v>
      </c>
    </row>
    <row r="5" spans="1:21">
      <c r="A5">
        <v>1</v>
      </c>
      <c r="B5" s="2" t="s">
        <v>885</v>
      </c>
      <c r="C5" t="s">
        <v>546</v>
      </c>
      <c r="D5" s="2">
        <v>280</v>
      </c>
      <c r="E5" s="2">
        <v>300</v>
      </c>
      <c r="F5" s="2">
        <v>300</v>
      </c>
      <c r="G5" s="2">
        <v>320</v>
      </c>
      <c r="H5" s="2">
        <v>320</v>
      </c>
      <c r="I5" s="2">
        <v>340</v>
      </c>
      <c r="J5" t="s">
        <v>545</v>
      </c>
      <c r="O5" t="s">
        <v>877</v>
      </c>
    </row>
    <row r="6" spans="1:21">
      <c r="A6">
        <v>2</v>
      </c>
      <c r="B6" s="2" t="s">
        <v>886</v>
      </c>
      <c r="C6" t="s">
        <v>546</v>
      </c>
      <c r="D6" s="2">
        <v>140</v>
      </c>
      <c r="E6" s="2">
        <v>150</v>
      </c>
      <c r="F6" s="2">
        <v>150</v>
      </c>
      <c r="G6" s="2">
        <v>160</v>
      </c>
      <c r="H6" s="2">
        <v>160</v>
      </c>
      <c r="I6" s="2">
        <v>170</v>
      </c>
      <c r="J6" t="s">
        <v>545</v>
      </c>
      <c r="O6" t="s">
        <v>878</v>
      </c>
      <c r="Q6" s="2"/>
      <c r="R6" s="2"/>
    </row>
    <row r="7" spans="1:21">
      <c r="A7">
        <v>3</v>
      </c>
      <c r="B7" s="2" t="s">
        <v>890</v>
      </c>
      <c r="C7" t="s">
        <v>546</v>
      </c>
      <c r="D7" s="2">
        <v>240</v>
      </c>
      <c r="E7" s="2">
        <v>250</v>
      </c>
      <c r="F7" s="2">
        <v>250</v>
      </c>
      <c r="G7" s="2">
        <v>270</v>
      </c>
      <c r="H7" s="2">
        <v>270</v>
      </c>
      <c r="I7" s="2">
        <v>290</v>
      </c>
      <c r="J7" t="s">
        <v>545</v>
      </c>
    </row>
    <row r="8" spans="1:21">
      <c r="A8">
        <v>4</v>
      </c>
      <c r="B8" s="2" t="s">
        <v>887</v>
      </c>
      <c r="C8" t="s">
        <v>546</v>
      </c>
      <c r="D8" s="2">
        <v>130</v>
      </c>
      <c r="E8" s="2">
        <v>120</v>
      </c>
      <c r="F8" s="2">
        <v>120</v>
      </c>
      <c r="G8" s="2">
        <v>110</v>
      </c>
      <c r="H8" s="2">
        <v>110</v>
      </c>
      <c r="I8" s="2">
        <v>100</v>
      </c>
      <c r="J8" t="s">
        <v>545</v>
      </c>
    </row>
    <row r="9" spans="1:21">
      <c r="A9">
        <v>5</v>
      </c>
      <c r="B9" s="2" t="s">
        <v>888</v>
      </c>
      <c r="C9" t="s">
        <v>546</v>
      </c>
      <c r="D9" s="2">
        <v>90</v>
      </c>
      <c r="E9" s="2">
        <v>80</v>
      </c>
      <c r="F9" s="2">
        <v>80</v>
      </c>
      <c r="G9" s="2">
        <v>85</v>
      </c>
      <c r="H9" s="2">
        <v>85</v>
      </c>
      <c r="I9" s="2">
        <v>90</v>
      </c>
      <c r="J9" t="s">
        <v>545</v>
      </c>
    </row>
    <row r="10" spans="1:21" ht="29.5">
      <c r="A10">
        <v>6</v>
      </c>
      <c r="B10" s="2" t="s">
        <v>889</v>
      </c>
      <c r="C10" s="2" t="s">
        <v>876</v>
      </c>
      <c r="D10" s="63">
        <f>D5+D6</f>
        <v>420</v>
      </c>
      <c r="E10" s="63">
        <f t="shared" ref="E10:I10" si="0">E5+E6</f>
        <v>450</v>
      </c>
      <c r="F10" s="63">
        <f t="shared" si="0"/>
        <v>450</v>
      </c>
      <c r="G10" s="63">
        <f t="shared" si="0"/>
        <v>480</v>
      </c>
      <c r="H10" s="63">
        <f t="shared" si="0"/>
        <v>480</v>
      </c>
      <c r="I10" s="63">
        <f t="shared" si="0"/>
        <v>510</v>
      </c>
      <c r="L10" s="2"/>
      <c r="N10" s="2"/>
      <c r="P10" s="2"/>
      <c r="R10" s="2"/>
      <c r="U10" s="2"/>
    </row>
    <row r="11" spans="1:21" ht="28.2" customHeight="1">
      <c r="A11">
        <v>7</v>
      </c>
      <c r="B11" s="2" t="s">
        <v>542</v>
      </c>
      <c r="C11" t="s">
        <v>546</v>
      </c>
      <c r="D11" s="2" t="s">
        <v>545</v>
      </c>
      <c r="E11" s="2">
        <v>25</v>
      </c>
      <c r="F11" s="2" t="s">
        <v>545</v>
      </c>
      <c r="G11" s="2">
        <v>30</v>
      </c>
      <c r="H11" s="2" t="s">
        <v>545</v>
      </c>
      <c r="I11" s="2">
        <v>35</v>
      </c>
      <c r="J11" t="s">
        <v>545</v>
      </c>
      <c r="L11" s="2"/>
      <c r="M11" s="2"/>
      <c r="N11" s="2"/>
      <c r="O11" s="2"/>
      <c r="P11" s="2"/>
      <c r="Q11" s="9"/>
      <c r="R11" s="9"/>
      <c r="S11" s="9"/>
    </row>
    <row r="12" spans="1:21" ht="28.2" customHeight="1">
      <c r="B12" s="3" t="s">
        <v>805</v>
      </c>
      <c r="D12" s="2"/>
      <c r="E12" s="2"/>
      <c r="F12" s="2"/>
      <c r="G12" s="2"/>
      <c r="H12" s="2"/>
      <c r="I12" s="2"/>
      <c r="K12" s="89"/>
    </row>
    <row r="13" spans="1:21" ht="28.2" customHeight="1">
      <c r="A13">
        <v>8</v>
      </c>
      <c r="B13" s="3"/>
      <c r="D13" s="2"/>
      <c r="E13" s="2"/>
      <c r="F13" s="2"/>
      <c r="G13" s="2"/>
      <c r="H13" s="2"/>
      <c r="I13" s="2"/>
      <c r="K13" s="89"/>
    </row>
    <row r="14" spans="1:21" ht="63.65" customHeight="1">
      <c r="A14">
        <v>9</v>
      </c>
      <c r="B14" s="12" t="s">
        <v>802</v>
      </c>
      <c r="C14" s="2" t="s">
        <v>822</v>
      </c>
      <c r="D14" s="67">
        <f>(D8+D9)/D7</f>
        <v>0.91666666666666663</v>
      </c>
      <c r="E14" s="67">
        <f>(E8+E9)/E7</f>
        <v>0.8</v>
      </c>
      <c r="F14" s="67">
        <f>(F8+F9)/F7</f>
        <v>0.8</v>
      </c>
      <c r="G14" s="67">
        <f>(G8+G9)/G7</f>
        <v>0.72222222222222221</v>
      </c>
      <c r="H14" s="67">
        <f>(H8+H9)/H7</f>
        <v>0.72222222222222221</v>
      </c>
      <c r="I14" s="67">
        <f t="shared" ref="I14" si="1">(I8+I9)/I7</f>
        <v>0.65517241379310343</v>
      </c>
      <c r="J14" s="67">
        <f>((D14+E14)/2+(F14+G14)/2+(H14+I14)/2)/3</f>
        <v>0.76938058748403571</v>
      </c>
      <c r="K14" s="51">
        <f>VLOOKUP($C$2,'5.Отрасл нормативы и WACC '!$C$2:$K$175,7,FALSE)</f>
        <v>0.7</v>
      </c>
      <c r="L14" s="52" t="str">
        <f>IFERROR(IF(J14&lt;=K14,"Да",IF(J14&lt;=K14*1.1,"Пограничное","Нет")),"")</f>
        <v>Пограничное</v>
      </c>
      <c r="M14" s="50">
        <f>IF(PROPER(L14)="ДА",1,
 IF(PROPER(L14)="ПОГРАНИЧНОЕ",0.5,
 IF(PROPER(L14)="НЕТ",0,"")))</f>
        <v>0.5</v>
      </c>
    </row>
    <row r="15" spans="1:21" ht="65.400000000000006" customHeight="1">
      <c r="A15">
        <v>9</v>
      </c>
      <c r="B15" s="2" t="s">
        <v>543</v>
      </c>
      <c r="C15" s="2" t="s">
        <v>892</v>
      </c>
      <c r="D15" s="53"/>
      <c r="E15" s="74">
        <f>E11/((E10+D10)/2)</f>
        <v>5.7471264367816091E-2</v>
      </c>
      <c r="F15" s="74"/>
      <c r="G15" s="74">
        <f>G11/((G10+F10)/2)</f>
        <v>6.4516129032258063E-2</v>
      </c>
      <c r="H15" s="74"/>
      <c r="I15" s="74">
        <f>I11/((I10+H10)/2)</f>
        <v>7.0707070707070704E-2</v>
      </c>
      <c r="J15" s="74">
        <f>(E15+G15+I15)/3</f>
        <v>6.4231488035714948E-2</v>
      </c>
      <c r="K15" s="54">
        <f>VLOOKUP($C$2,'5.Отрасл нормативы и WACC '!$C$2:$K$175,5,FALSE)</f>
        <v>0.03</v>
      </c>
      <c r="L15" s="52" t="str">
        <f>IFERROR(IF(J15&gt;=K15,"Да",IF(J15&gt;=K15*0.9,"Пограничное","Нет")),"")</f>
        <v>Да</v>
      </c>
      <c r="M15" s="50">
        <f t="shared" ref="M15:M20" si="2">IF(PROPER(L15)="ДА",1,
 IF(PROPER(L15)="ПОГРАНИЧНОЕ",0.5,
 IF(PROPER(L15)="НЕТ",0,"")))</f>
        <v>1</v>
      </c>
      <c r="N15" s="108" t="s">
        <v>928</v>
      </c>
    </row>
    <row r="16" spans="1:21" ht="62.4" customHeight="1">
      <c r="A16">
        <v>10</v>
      </c>
      <c r="B16" s="2" t="s">
        <v>544</v>
      </c>
      <c r="C16" s="2" t="s">
        <v>891</v>
      </c>
      <c r="D16" s="53"/>
      <c r="E16" s="74">
        <f>E11/((E7+D7)/2)</f>
        <v>0.10204081632653061</v>
      </c>
      <c r="F16" s="74"/>
      <c r="G16" s="74">
        <f t="shared" ref="G16:I16" si="3">G11/((G7+F7)/2)</f>
        <v>0.11538461538461539</v>
      </c>
      <c r="H16" s="74"/>
      <c r="I16" s="74">
        <f t="shared" si="3"/>
        <v>0.125</v>
      </c>
      <c r="J16" s="74">
        <f>(E16+G16+I16)/3</f>
        <v>0.11414181057038202</v>
      </c>
      <c r="K16" s="54">
        <f>J16-(--VLOOKUP($C$2,'5.Отрасл нормативы и WACC '!C2:M175,11,FALSE))</f>
        <v>7.4762403849982159E-2</v>
      </c>
      <c r="L16" s="52" t="str">
        <f>IF(K16&gt;0.000001,"Да",IF(K16&lt;-0.000001,"Нет","Равно"))</f>
        <v>Да</v>
      </c>
      <c r="M16" s="50">
        <f>IF(UPPER(TRIM($L$16))="ДА",1,
IF(UPPER(TRIM($L$16))="НЕТ",0,
IF(UPPER(TRIM($L$16))="РАВНО",0.5,"")))</f>
        <v>1</v>
      </c>
      <c r="N16" s="104" t="s">
        <v>893</v>
      </c>
    </row>
    <row r="17" spans="1:14" ht="61.2" customHeight="1">
      <c r="A17">
        <v>11</v>
      </c>
      <c r="B17" s="9" t="s">
        <v>8</v>
      </c>
      <c r="C17" s="2" t="s">
        <v>821</v>
      </c>
      <c r="D17" s="51">
        <f>D6/D9</f>
        <v>1.5555555555555556</v>
      </c>
      <c r="E17" s="51">
        <f>E6/E9</f>
        <v>1.875</v>
      </c>
      <c r="F17" s="51">
        <f t="shared" ref="F17:H17" si="4">F6/F9</f>
        <v>1.875</v>
      </c>
      <c r="G17" s="51">
        <f>G6/G9</f>
        <v>1.8823529411764706</v>
      </c>
      <c r="H17" s="51">
        <f t="shared" si="4"/>
        <v>1.8823529411764706</v>
      </c>
      <c r="I17" s="51">
        <f>I6/I9</f>
        <v>1.8888888888888888</v>
      </c>
      <c r="J17" s="51">
        <f>AVERAGE(D17:I17)</f>
        <v>1.826525054466231</v>
      </c>
      <c r="K17" s="51">
        <f>VLOOKUP($C$2,'5.Отрасл нормативы и WACC '!$C$2:$I$175,2,FALSE)</f>
        <v>1.5</v>
      </c>
      <c r="L17" s="55" t="str">
        <f>IFERROR(IF(J17&gt;=K17,"Да",IF(J17&gt;=K17*0.9,"Пограничное","Нет")),"")</f>
        <v>Да</v>
      </c>
      <c r="M17" s="50">
        <f t="shared" si="2"/>
        <v>1</v>
      </c>
      <c r="N17" s="45"/>
    </row>
    <row r="18" spans="1:14" ht="73.75">
      <c r="A18">
        <v>12</v>
      </c>
      <c r="B18" s="36" t="s">
        <v>9</v>
      </c>
      <c r="C18" s="32" t="s">
        <v>823</v>
      </c>
      <c r="D18" s="51">
        <f>(D7+D8-D5)/D6</f>
        <v>0.6428571428571429</v>
      </c>
      <c r="E18" s="51">
        <f t="shared" ref="E18:I18" si="5">(E7+E8-E5)/E6</f>
        <v>0.46666666666666667</v>
      </c>
      <c r="F18" s="51">
        <f t="shared" si="5"/>
        <v>0.46666666666666667</v>
      </c>
      <c r="G18" s="51">
        <f t="shared" si="5"/>
        <v>0.375</v>
      </c>
      <c r="H18" s="51">
        <f t="shared" si="5"/>
        <v>0.375</v>
      </c>
      <c r="I18" s="51">
        <f t="shared" si="5"/>
        <v>0.29411764705882354</v>
      </c>
      <c r="J18" s="51">
        <f>AVERAGE(D18:I18)</f>
        <v>0.43671802054154996</v>
      </c>
      <c r="K18" s="51">
        <f>VLOOKUP($C$2,'5.Отрасл нормативы и WACC '!$C$2:$K$175,3,FALSE)</f>
        <v>0.2</v>
      </c>
      <c r="L18" s="56" t="str">
        <f>IFERROR(IF(J18&gt;=K18,"Да",IF(J18&gt;=K18*0.9,"Пограничное","Нет")),"")</f>
        <v>Да</v>
      </c>
      <c r="M18" s="50">
        <f t="shared" si="2"/>
        <v>1</v>
      </c>
    </row>
    <row r="19" spans="1:14" ht="59">
      <c r="A19">
        <v>13</v>
      </c>
      <c r="B19" s="36" t="s">
        <v>10</v>
      </c>
      <c r="C19" s="32" t="s">
        <v>824</v>
      </c>
      <c r="D19" s="51">
        <f>(D8+D9)/D10</f>
        <v>0.52380952380952384</v>
      </c>
      <c r="E19" s="51"/>
      <c r="F19" s="51">
        <v>1.9</v>
      </c>
      <c r="G19" s="51"/>
      <c r="H19" s="51">
        <v>2.1</v>
      </c>
      <c r="I19" s="51"/>
      <c r="J19" s="51">
        <f>AVERAGE(D19:H19)</f>
        <v>1.5079365079365079</v>
      </c>
      <c r="K19" s="51">
        <f>VLOOKUP($C$2,'5.Отрасл нормативы и WACC '!$C$2:$K$175,4,FALSE)</f>
        <v>0.85</v>
      </c>
      <c r="L19" s="52" t="str">
        <f>IFERROR(IF(J19&gt;=K19,"Да",IF(J19&gt;=K19*0.9,"Пограничное","Нет")),"")</f>
        <v>Да</v>
      </c>
      <c r="M19" s="50">
        <f t="shared" si="2"/>
        <v>1</v>
      </c>
    </row>
    <row r="20" spans="1:14" ht="46.2" customHeight="1">
      <c r="A20">
        <v>14</v>
      </c>
      <c r="B20" s="9" t="s">
        <v>571</v>
      </c>
      <c r="C20" s="2" t="s">
        <v>825</v>
      </c>
      <c r="D20" s="51">
        <f>D7/D10</f>
        <v>0.5714285714285714</v>
      </c>
      <c r="E20" s="51">
        <f t="shared" ref="E20:I20" si="6">E7/E10</f>
        <v>0.55555555555555558</v>
      </c>
      <c r="F20" s="51">
        <f t="shared" si="6"/>
        <v>0.55555555555555558</v>
      </c>
      <c r="G20" s="51">
        <f t="shared" si="6"/>
        <v>0.5625</v>
      </c>
      <c r="H20" s="51">
        <f t="shared" si="6"/>
        <v>0.5625</v>
      </c>
      <c r="I20" s="51">
        <f t="shared" si="6"/>
        <v>0.56862745098039214</v>
      </c>
      <c r="J20" s="51">
        <f>AVERAGE(D20:H20)</f>
        <v>0.56150793650793651</v>
      </c>
      <c r="K20" s="51">
        <f>VLOOKUP($C$2,'5.Отрасл нормативы и WACC '!$C$2:$K$175,6,FALSE)</f>
        <v>0.5</v>
      </c>
      <c r="L20" s="55" t="str">
        <f>IFERROR(IF(J20&gt;=K20,"Да",IF(J20&gt;=K20*0.9,"Пограничное","Нет")),"")</f>
        <v>Да</v>
      </c>
      <c r="M20" s="50">
        <f t="shared" si="2"/>
        <v>1</v>
      </c>
    </row>
    <row r="23" spans="1:14">
      <c r="B23" s="2"/>
      <c r="C23" s="2"/>
      <c r="D23" s="2"/>
      <c r="E23" s="2"/>
      <c r="F23" s="2"/>
      <c r="G23" s="2"/>
      <c r="H23" s="2"/>
    </row>
    <row r="24" spans="1:14">
      <c r="B24" s="2"/>
      <c r="C24" s="2"/>
      <c r="D24" s="2"/>
      <c r="E24" s="2"/>
      <c r="F24" s="2"/>
      <c r="G24" s="2"/>
      <c r="H24" s="2"/>
    </row>
    <row r="25" spans="1:14">
      <c r="B25" s="2"/>
      <c r="C25" s="2"/>
      <c r="D25" s="2"/>
      <c r="E25" s="2"/>
      <c r="F25" s="2"/>
      <c r="G25" s="2"/>
      <c r="H25" s="2"/>
    </row>
    <row r="26" spans="1:14">
      <c r="B26" s="2"/>
      <c r="C26" s="2"/>
      <c r="D26" s="2"/>
      <c r="E26" s="2"/>
      <c r="F26" s="2"/>
      <c r="G26" s="2"/>
      <c r="H26" s="2"/>
    </row>
    <row r="27" spans="1:14">
      <c r="B27" s="2"/>
      <c r="C27" s="2"/>
      <c r="D27" s="2"/>
      <c r="E27" s="2"/>
      <c r="F27" s="2"/>
      <c r="G27" s="2"/>
      <c r="H27" s="2"/>
    </row>
    <row r="28" spans="1:14">
      <c r="B28" s="2"/>
      <c r="C28" s="2"/>
      <c r="D28" s="2"/>
      <c r="E28" s="2"/>
      <c r="F28" s="2"/>
      <c r="G28" s="2"/>
      <c r="H28" s="2"/>
    </row>
    <row r="29" spans="1:14">
      <c r="B29" s="2"/>
      <c r="C29" s="2"/>
      <c r="D29" s="2"/>
      <c r="E29" s="2"/>
      <c r="F29" s="2"/>
      <c r="G29" s="2"/>
      <c r="H29" s="2"/>
    </row>
  </sheetData>
  <mergeCells count="3">
    <mergeCell ref="D3:E3"/>
    <mergeCell ref="F3:G3"/>
    <mergeCell ref="H3:I3"/>
  </mergeCells>
  <conditionalFormatting sqref="M14:M20">
    <cfRule type="iconSet" priority="1">
      <iconSet showValue="0">
        <cfvo type="percent" val="0"/>
        <cfvo type="num" val="0.5"/>
        <cfvo type="num" val="1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93131-5883-47AD-8463-380AEBB1CF2E}">
          <x14:formula1>
            <xm:f>'5.Отрасл нормативы и WACC '!$C$2:$C$175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8AD4-6425-4234-8014-955A402F89FF}">
  <dimension ref="A1:Q154"/>
  <sheetViews>
    <sheetView workbookViewId="0">
      <pane ySplit="1" topLeftCell="A2" activePane="bottomLeft" state="frozen"/>
      <selection pane="bottomLeft" activeCell="D6" sqref="D6"/>
    </sheetView>
  </sheetViews>
  <sheetFormatPr defaultRowHeight="14.75"/>
  <cols>
    <col min="2" max="2" width="21.86328125" customWidth="1"/>
    <col min="3" max="3" width="33.08984375" customWidth="1"/>
    <col min="4" max="4" width="13.453125" customWidth="1"/>
    <col min="5" max="6" width="11.453125" bestFit="1" customWidth="1"/>
    <col min="7" max="7" width="11.31640625" customWidth="1"/>
    <col min="8" max="8" width="25.08984375" customWidth="1"/>
    <col min="9" max="9" width="23.76953125" customWidth="1"/>
    <col min="10" max="10" width="36.2265625" customWidth="1"/>
    <col min="11" max="11" width="14.453125" customWidth="1"/>
    <col min="12" max="12" width="16" customWidth="1"/>
    <col min="13" max="13" width="27.453125" customWidth="1"/>
  </cols>
  <sheetData>
    <row r="1" spans="1:15">
      <c r="A1" s="105" t="s">
        <v>675</v>
      </c>
      <c r="B1" s="105" t="s">
        <v>0</v>
      </c>
      <c r="C1" s="105" t="s">
        <v>582</v>
      </c>
      <c r="D1" s="105" t="s">
        <v>965</v>
      </c>
      <c r="E1" s="106" t="s">
        <v>962</v>
      </c>
      <c r="F1" s="106" t="s">
        <v>963</v>
      </c>
      <c r="G1" s="106" t="s">
        <v>964</v>
      </c>
      <c r="H1" s="107" t="s">
        <v>961</v>
      </c>
    </row>
    <row r="2" spans="1:15">
      <c r="B2" s="15" t="s">
        <v>611</v>
      </c>
    </row>
    <row r="3" spans="1:15" ht="29.5">
      <c r="B3" s="40" t="s">
        <v>697</v>
      </c>
      <c r="C3" s="33"/>
    </row>
    <row r="4" spans="1:15">
      <c r="A4" s="26">
        <v>1</v>
      </c>
      <c r="B4" s="9" t="s">
        <v>583</v>
      </c>
      <c r="C4" s="9" t="s">
        <v>690</v>
      </c>
      <c r="D4" s="9">
        <v>700</v>
      </c>
      <c r="E4" s="2">
        <v>860</v>
      </c>
      <c r="F4" s="2">
        <v>1000</v>
      </c>
      <c r="G4" s="2">
        <v>1100</v>
      </c>
      <c r="I4" s="2"/>
      <c r="J4" s="2"/>
      <c r="K4" s="2"/>
      <c r="L4" s="2"/>
      <c r="M4" s="2"/>
      <c r="N4" s="2"/>
    </row>
    <row r="5" spans="1:15" ht="91.9" customHeight="1">
      <c r="A5" s="26">
        <v>2</v>
      </c>
      <c r="B5" s="9" t="s">
        <v>981</v>
      </c>
      <c r="C5" s="9" t="s">
        <v>966</v>
      </c>
      <c r="D5" s="9">
        <v>450</v>
      </c>
      <c r="E5" s="2">
        <v>500</v>
      </c>
      <c r="F5" s="2">
        <v>540</v>
      </c>
      <c r="G5" s="2">
        <v>580</v>
      </c>
      <c r="H5" s="9" t="s">
        <v>924</v>
      </c>
      <c r="I5" s="2"/>
      <c r="J5" s="2"/>
      <c r="K5" s="2"/>
      <c r="L5" s="2"/>
      <c r="M5" s="2"/>
      <c r="N5" s="2"/>
    </row>
    <row r="6" spans="1:15" ht="40.9" customHeight="1">
      <c r="A6" s="26">
        <v>3</v>
      </c>
      <c r="B6" s="2" t="s">
        <v>683</v>
      </c>
      <c r="C6" s="9" t="s">
        <v>691</v>
      </c>
      <c r="D6" s="2">
        <v>50</v>
      </c>
      <c r="E6" s="2">
        <v>50</v>
      </c>
      <c r="F6" s="2">
        <v>50</v>
      </c>
      <c r="G6" s="2">
        <v>50</v>
      </c>
      <c r="I6" s="2"/>
      <c r="J6" s="2"/>
      <c r="K6" s="2"/>
      <c r="L6" s="2"/>
      <c r="M6" s="2"/>
      <c r="N6" s="2"/>
    </row>
    <row r="7" spans="1:15" ht="43.9" customHeight="1">
      <c r="A7" s="26">
        <v>4</v>
      </c>
      <c r="B7" s="33" t="s">
        <v>692</v>
      </c>
      <c r="C7" s="9" t="s">
        <v>772</v>
      </c>
      <c r="D7" s="65">
        <f>D103</f>
        <v>2.2000000000000002</v>
      </c>
      <c r="E7" s="65">
        <f>E103</f>
        <v>1.7600000000000002</v>
      </c>
      <c r="F7" s="65">
        <f>F103</f>
        <v>1.3200000000000003</v>
      </c>
      <c r="G7" s="65">
        <f t="shared" ref="G7" si="0">G103</f>
        <v>0.88000000000000012</v>
      </c>
      <c r="H7" s="11"/>
      <c r="I7" s="2"/>
    </row>
    <row r="8" spans="1:15" ht="44.25">
      <c r="A8" s="41">
        <v>5</v>
      </c>
      <c r="B8" s="2" t="s">
        <v>693</v>
      </c>
      <c r="C8" s="9" t="s">
        <v>774</v>
      </c>
      <c r="D8" s="66">
        <f>D43+D55+D66+D77+D88-D94</f>
        <v>0</v>
      </c>
      <c r="E8" s="66">
        <f>E43+E55+E66+E77+E88-E94</f>
        <v>80.599999999999994</v>
      </c>
      <c r="F8" s="66">
        <f>F43+F55+F66+F77+F88-F94</f>
        <v>83.839399999999998</v>
      </c>
      <c r="G8" s="66">
        <f t="shared" ref="G8" si="1">G43+G55+G66+G77+G88-G94</f>
        <v>64.786282800000009</v>
      </c>
      <c r="I8" s="2"/>
    </row>
    <row r="9" spans="1:15">
      <c r="A9" s="26">
        <v>6</v>
      </c>
      <c r="B9" s="33" t="s">
        <v>773</v>
      </c>
      <c r="C9" s="9" t="s">
        <v>967</v>
      </c>
      <c r="D9" s="51">
        <f>D7+D8</f>
        <v>2.2000000000000002</v>
      </c>
      <c r="E9" s="51">
        <f t="shared" ref="E9:G9" si="2">E7+E8</f>
        <v>82.36</v>
      </c>
      <c r="F9" s="51">
        <f t="shared" si="2"/>
        <v>85.159400000000005</v>
      </c>
      <c r="G9" s="51">
        <f t="shared" si="2"/>
        <v>65.666282800000005</v>
      </c>
      <c r="H9" s="11"/>
      <c r="I9" s="2"/>
    </row>
    <row r="10" spans="1:15" ht="73.75">
      <c r="A10" s="26">
        <v>7</v>
      </c>
      <c r="B10" s="2" t="s">
        <v>894</v>
      </c>
      <c r="C10" s="9" t="s">
        <v>690</v>
      </c>
      <c r="D10" s="90">
        <v>200</v>
      </c>
      <c r="E10" s="90">
        <v>310</v>
      </c>
      <c r="F10" s="90">
        <v>390</v>
      </c>
      <c r="G10" s="90">
        <v>450</v>
      </c>
      <c r="H10" s="33" t="s">
        <v>896</v>
      </c>
      <c r="I10" s="2"/>
    </row>
    <row r="11" spans="1:15" ht="44.25">
      <c r="A11" s="26">
        <v>8</v>
      </c>
      <c r="B11" s="36" t="s">
        <v>895</v>
      </c>
      <c r="C11" s="9" t="s">
        <v>921</v>
      </c>
      <c r="D11" s="56">
        <f>D10+D9+D6</f>
        <v>252.2</v>
      </c>
      <c r="E11" s="56">
        <f t="shared" ref="E11:G11" si="3">E10+E9+E6</f>
        <v>442.36</v>
      </c>
      <c r="F11" s="56">
        <f t="shared" si="3"/>
        <v>525.15940000000001</v>
      </c>
      <c r="G11" s="56">
        <f t="shared" si="3"/>
        <v>565.66628279999998</v>
      </c>
      <c r="I11" s="2"/>
    </row>
    <row r="12" spans="1:15">
      <c r="A12" s="26">
        <v>9</v>
      </c>
      <c r="B12" s="9" t="s">
        <v>584</v>
      </c>
      <c r="C12" s="9"/>
      <c r="D12" s="13">
        <v>0.2</v>
      </c>
      <c r="E12" s="13">
        <v>0.2</v>
      </c>
      <c r="F12" s="13">
        <v>0.2</v>
      </c>
      <c r="G12" s="13">
        <v>0.2</v>
      </c>
      <c r="I12" s="2"/>
      <c r="J12" s="2"/>
      <c r="K12" s="2"/>
      <c r="L12" s="2"/>
      <c r="M12" s="2"/>
      <c r="N12" s="2"/>
      <c r="O12" s="2"/>
    </row>
    <row r="13" spans="1:15" ht="29.5">
      <c r="A13" s="26">
        <v>10</v>
      </c>
      <c r="B13" s="2" t="s">
        <v>684</v>
      </c>
      <c r="C13" s="9" t="s">
        <v>694</v>
      </c>
      <c r="D13" s="57">
        <f>D10*D12</f>
        <v>40</v>
      </c>
      <c r="E13" s="57">
        <f t="shared" ref="E13:G13" si="4">E10*E12</f>
        <v>62</v>
      </c>
      <c r="F13" s="57">
        <f t="shared" si="4"/>
        <v>78</v>
      </c>
      <c r="G13" s="57">
        <f t="shared" si="4"/>
        <v>90</v>
      </c>
      <c r="I13" s="2"/>
      <c r="J13" s="2"/>
      <c r="K13" s="2"/>
      <c r="L13" s="2"/>
      <c r="M13" s="2"/>
      <c r="N13" s="2"/>
      <c r="O13" s="2"/>
    </row>
    <row r="14" spans="1:15" ht="29.5">
      <c r="A14" s="26">
        <v>11</v>
      </c>
      <c r="B14" s="9" t="s">
        <v>542</v>
      </c>
      <c r="C14" s="9" t="s">
        <v>775</v>
      </c>
      <c r="D14" s="57">
        <f>D10-D13</f>
        <v>160</v>
      </c>
      <c r="E14" s="57">
        <f t="shared" ref="E14:G14" si="5">E10-E13</f>
        <v>248</v>
      </c>
      <c r="F14" s="57">
        <f t="shared" si="5"/>
        <v>312</v>
      </c>
      <c r="G14" s="57">
        <f t="shared" si="5"/>
        <v>360</v>
      </c>
      <c r="I14" s="2"/>
      <c r="J14" s="2"/>
      <c r="K14" s="2"/>
      <c r="L14" s="2"/>
      <c r="O14" s="2"/>
    </row>
    <row r="15" spans="1:15" ht="29.5">
      <c r="A15" s="26">
        <v>12</v>
      </c>
      <c r="B15" s="9" t="s">
        <v>533</v>
      </c>
      <c r="C15" s="9"/>
      <c r="D15" s="27">
        <v>700</v>
      </c>
      <c r="E15" s="27">
        <v>80</v>
      </c>
      <c r="F15" s="27">
        <v>60</v>
      </c>
      <c r="G15" s="27">
        <v>0</v>
      </c>
      <c r="I15" s="2"/>
      <c r="J15" s="2"/>
      <c r="K15" s="4"/>
      <c r="L15" s="2"/>
      <c r="M15" s="2"/>
      <c r="N15" s="2"/>
    </row>
    <row r="16" spans="1:15" ht="73.75">
      <c r="A16" s="41">
        <v>13</v>
      </c>
      <c r="B16" s="9" t="s">
        <v>680</v>
      </c>
      <c r="C16" s="33" t="s">
        <v>978</v>
      </c>
      <c r="D16" s="27">
        <v>-100</v>
      </c>
      <c r="E16" s="27">
        <v>30</v>
      </c>
      <c r="F16" s="27">
        <v>20</v>
      </c>
      <c r="G16" s="27">
        <v>-10</v>
      </c>
    </row>
    <row r="17" spans="1:14" ht="59">
      <c r="A17" s="26">
        <v>14</v>
      </c>
      <c r="B17" s="9" t="s">
        <v>589</v>
      </c>
      <c r="C17" s="9" t="s">
        <v>899</v>
      </c>
      <c r="D17" s="57">
        <f>D14+D6-D15+D16</f>
        <v>-590</v>
      </c>
      <c r="E17" s="57">
        <f>E14+E6-E15+E16</f>
        <v>248</v>
      </c>
      <c r="F17" s="57">
        <f>F14+F6-F15+F16</f>
        <v>322</v>
      </c>
      <c r="G17" s="57">
        <f>G14+G6-G15+G16</f>
        <v>400</v>
      </c>
    </row>
    <row r="18" spans="1:14">
      <c r="A18" s="26">
        <v>15</v>
      </c>
      <c r="B18" s="9" t="s">
        <v>578</v>
      </c>
      <c r="C18" s="9" t="s">
        <v>979</v>
      </c>
      <c r="D18" s="57">
        <f>NPV(0.12,E17:G17)+D17</f>
        <v>172.83709912536438</v>
      </c>
      <c r="E18" s="52"/>
      <c r="F18" s="52"/>
      <c r="G18" s="52"/>
      <c r="J18" s="2"/>
      <c r="K18" s="2"/>
      <c r="L18" s="2"/>
      <c r="M18" s="2"/>
      <c r="N18" s="2"/>
    </row>
    <row r="19" spans="1:14" ht="29.5">
      <c r="A19" s="26">
        <v>16</v>
      </c>
      <c r="B19" s="9" t="s">
        <v>637</v>
      </c>
      <c r="C19" s="9" t="s">
        <v>980</v>
      </c>
      <c r="D19" s="59">
        <f>IRR(D17:G17)</f>
        <v>0.27020660147388931</v>
      </c>
      <c r="E19" s="52"/>
      <c r="F19" s="52"/>
      <c r="G19" s="52"/>
      <c r="J19" s="2"/>
      <c r="K19" s="6"/>
      <c r="L19" s="6"/>
      <c r="N19" s="6"/>
    </row>
    <row r="20" spans="1:14">
      <c r="A20" s="26"/>
      <c r="B20" s="42" t="s">
        <v>612</v>
      </c>
      <c r="C20" s="9"/>
      <c r="D20" s="23"/>
    </row>
    <row r="21" spans="1:14" ht="29.5">
      <c r="A21" s="26"/>
      <c r="B21" s="40" t="s">
        <v>697</v>
      </c>
      <c r="C21" s="33"/>
    </row>
    <row r="22" spans="1:14">
      <c r="A22" s="26">
        <v>17</v>
      </c>
      <c r="B22" s="9" t="s">
        <v>642</v>
      </c>
      <c r="C22" s="9"/>
      <c r="D22" s="2">
        <v>430</v>
      </c>
      <c r="E22" s="2">
        <v>440</v>
      </c>
      <c r="F22" s="2">
        <v>450</v>
      </c>
      <c r="G22" s="2">
        <v>460</v>
      </c>
      <c r="H22" s="2"/>
      <c r="I22" s="2"/>
      <c r="J22" s="2"/>
      <c r="K22" s="2"/>
    </row>
    <row r="23" spans="1:14" ht="29.5">
      <c r="A23" s="26">
        <v>18</v>
      </c>
      <c r="B23" s="9" t="s">
        <v>541</v>
      </c>
      <c r="C23" s="9"/>
      <c r="D23" s="2">
        <v>300</v>
      </c>
      <c r="E23" s="2">
        <v>310</v>
      </c>
      <c r="F23" s="2">
        <v>320</v>
      </c>
      <c r="G23" s="2">
        <v>330</v>
      </c>
      <c r="H23" s="2"/>
      <c r="I23" s="2"/>
      <c r="J23" s="2"/>
      <c r="K23" s="2"/>
      <c r="L23" s="2"/>
    </row>
    <row r="24" spans="1:14">
      <c r="A24" s="26">
        <v>19</v>
      </c>
      <c r="B24" s="9" t="s">
        <v>593</v>
      </c>
      <c r="C24" s="9"/>
      <c r="D24" s="2">
        <v>1550</v>
      </c>
      <c r="E24" s="2">
        <v>1510</v>
      </c>
      <c r="F24" s="2">
        <v>1470</v>
      </c>
      <c r="G24" s="2">
        <v>1430</v>
      </c>
      <c r="H24" s="2"/>
      <c r="I24" s="2"/>
      <c r="J24" s="2"/>
      <c r="K24" s="2"/>
      <c r="L24" s="2"/>
    </row>
    <row r="25" spans="1:14" ht="29.5">
      <c r="A25" s="26">
        <v>20</v>
      </c>
      <c r="B25" s="9" t="s">
        <v>540</v>
      </c>
      <c r="C25" s="9"/>
      <c r="D25" s="2">
        <v>887</v>
      </c>
      <c r="E25" s="2">
        <v>877</v>
      </c>
      <c r="F25" s="2">
        <v>867</v>
      </c>
      <c r="G25" s="2">
        <v>857</v>
      </c>
      <c r="H25" s="2"/>
      <c r="I25" s="2"/>
      <c r="J25" s="2"/>
      <c r="K25" s="2"/>
      <c r="L25" s="2"/>
    </row>
    <row r="26" spans="1:14">
      <c r="A26" s="26">
        <v>21</v>
      </c>
      <c r="B26" s="9" t="s">
        <v>539</v>
      </c>
      <c r="C26" s="9"/>
      <c r="D26" s="2">
        <v>1550</v>
      </c>
      <c r="E26" s="2">
        <v>1510</v>
      </c>
      <c r="F26" s="2">
        <v>1470</v>
      </c>
      <c r="G26" s="2">
        <v>1430</v>
      </c>
      <c r="H26" s="2"/>
      <c r="I26" s="2"/>
      <c r="J26" s="2"/>
      <c r="K26" s="2"/>
      <c r="L26" s="2"/>
    </row>
    <row r="27" spans="1:14">
      <c r="A27" s="26">
        <v>22</v>
      </c>
      <c r="B27" s="9" t="s">
        <v>587</v>
      </c>
      <c r="C27" s="9" t="s">
        <v>695</v>
      </c>
      <c r="D27" s="52">
        <f xml:space="preserve"> D22 + D24</f>
        <v>1980</v>
      </c>
      <c r="E27" s="52">
        <f t="shared" ref="E27:G28" si="6" xml:space="preserve"> E22 + E24</f>
        <v>1950</v>
      </c>
      <c r="F27" s="52">
        <f t="shared" si="6"/>
        <v>1920</v>
      </c>
      <c r="G27" s="52">
        <f t="shared" si="6"/>
        <v>1890</v>
      </c>
      <c r="H27" s="2"/>
      <c r="I27" s="2"/>
      <c r="J27" s="2"/>
      <c r="K27" s="2"/>
      <c r="L27" s="2"/>
    </row>
    <row r="28" spans="1:14">
      <c r="A28" s="26">
        <v>23</v>
      </c>
      <c r="B28" s="9" t="s">
        <v>588</v>
      </c>
      <c r="C28" s="9" t="s">
        <v>613</v>
      </c>
      <c r="D28" s="60">
        <f xml:space="preserve"> D23 + D25</f>
        <v>1187</v>
      </c>
      <c r="E28" s="60">
        <f t="shared" si="6"/>
        <v>1187</v>
      </c>
      <c r="F28" s="60">
        <f t="shared" si="6"/>
        <v>1187</v>
      </c>
      <c r="G28" s="60">
        <f t="shared" si="6"/>
        <v>1187</v>
      </c>
      <c r="H28" s="2"/>
      <c r="I28" s="2"/>
      <c r="J28" s="2"/>
      <c r="K28" s="2"/>
      <c r="L28" s="2"/>
    </row>
    <row r="29" spans="1:14" ht="59">
      <c r="A29" s="26"/>
      <c r="B29" s="109" t="s">
        <v>630</v>
      </c>
      <c r="C29" s="33"/>
      <c r="N29" s="2"/>
    </row>
    <row r="30" spans="1:14" ht="29.5">
      <c r="A30" s="26"/>
      <c r="B30" s="40" t="s">
        <v>698</v>
      </c>
      <c r="C30" s="33"/>
      <c r="H30" s="4"/>
      <c r="I30" s="2"/>
      <c r="J30" s="2"/>
      <c r="K30" s="2"/>
      <c r="L30" s="2"/>
      <c r="M30" s="2"/>
      <c r="N30" s="2"/>
    </row>
    <row r="31" spans="1:14" ht="44.25">
      <c r="A31" s="26">
        <v>24</v>
      </c>
      <c r="B31" s="9" t="s">
        <v>573</v>
      </c>
      <c r="C31" s="9" t="s">
        <v>776</v>
      </c>
      <c r="D31" s="61">
        <f xml:space="preserve"> D22 / D23</f>
        <v>1.4333333333333333</v>
      </c>
      <c r="E31" s="61">
        <f t="shared" ref="E31:G31" si="7" xml:space="preserve"> E22 / E23</f>
        <v>1.4193548387096775</v>
      </c>
      <c r="F31" s="61">
        <f t="shared" si="7"/>
        <v>1.40625</v>
      </c>
      <c r="G31" s="61">
        <f t="shared" si="7"/>
        <v>1.393939393939394</v>
      </c>
      <c r="H31" s="4"/>
      <c r="I31" s="2"/>
      <c r="J31" s="2"/>
      <c r="K31" s="2"/>
      <c r="L31" s="2"/>
      <c r="M31" s="2"/>
      <c r="N31" s="2"/>
    </row>
    <row r="32" spans="1:14" ht="59">
      <c r="A32" s="26">
        <v>25</v>
      </c>
      <c r="B32" s="9" t="s">
        <v>649</v>
      </c>
      <c r="C32" s="9" t="s">
        <v>777</v>
      </c>
      <c r="D32" s="62">
        <f xml:space="preserve"> D26 / D27</f>
        <v>0.78282828282828287</v>
      </c>
      <c r="E32" s="62">
        <f t="shared" ref="E32:G32" si="8" xml:space="preserve"> E26 / E27</f>
        <v>0.77435897435897438</v>
      </c>
      <c r="F32" s="62">
        <f t="shared" si="8"/>
        <v>0.765625</v>
      </c>
      <c r="G32" s="62">
        <f t="shared" si="8"/>
        <v>0.75661375661375663</v>
      </c>
      <c r="I32" s="19"/>
      <c r="J32" s="19"/>
      <c r="K32" s="19"/>
      <c r="L32" s="19"/>
      <c r="M32" s="2"/>
      <c r="N32" s="2"/>
    </row>
    <row r="33" spans="1:14" ht="73.75">
      <c r="A33" s="26">
        <v>26</v>
      </c>
      <c r="B33" s="9" t="s">
        <v>647</v>
      </c>
      <c r="C33" s="9" t="s">
        <v>778</v>
      </c>
      <c r="D33" s="62">
        <f xml:space="preserve"> (D26+D25 - D24) / D22</f>
        <v>2.0627906976744188</v>
      </c>
      <c r="E33" s="62">
        <f t="shared" ref="E33:G33" si="9" xml:space="preserve"> (E26+E25 - E24) / E22</f>
        <v>1.9931818181818182</v>
      </c>
      <c r="F33" s="62">
        <f t="shared" si="9"/>
        <v>1.9266666666666667</v>
      </c>
      <c r="G33" s="62">
        <f t="shared" si="9"/>
        <v>1.8630434782608696</v>
      </c>
      <c r="K33" s="2"/>
      <c r="L33" s="2"/>
      <c r="M33" s="2"/>
      <c r="N33" s="2"/>
    </row>
    <row r="34" spans="1:14" ht="59">
      <c r="A34" s="26">
        <v>27</v>
      </c>
      <c r="B34" s="9" t="s">
        <v>650</v>
      </c>
      <c r="C34" s="9" t="s">
        <v>779</v>
      </c>
      <c r="D34" s="62">
        <f xml:space="preserve">  D28/D27</f>
        <v>0.59949494949494953</v>
      </c>
      <c r="E34" s="62">
        <f t="shared" ref="E34:G34" si="10" xml:space="preserve">  E28/E27</f>
        <v>0.60871794871794871</v>
      </c>
      <c r="F34" s="62">
        <f t="shared" si="10"/>
        <v>0.61822916666666672</v>
      </c>
      <c r="G34" s="62">
        <f t="shared" si="10"/>
        <v>0.62804232804232807</v>
      </c>
      <c r="K34" s="2"/>
      <c r="L34" s="2"/>
      <c r="M34" s="2"/>
      <c r="N34" s="2"/>
    </row>
    <row r="35" spans="1:14" ht="42" customHeight="1">
      <c r="A35" s="26">
        <v>28</v>
      </c>
      <c r="B35" s="9" t="s">
        <v>646</v>
      </c>
      <c r="C35" s="32" t="s">
        <v>780</v>
      </c>
      <c r="D35" s="62">
        <f>D14/D27</f>
        <v>8.0808080808080815E-2</v>
      </c>
      <c r="E35" s="62">
        <f>E14/E27</f>
        <v>0.12717948717948718</v>
      </c>
      <c r="F35" s="62">
        <f>F14/F27</f>
        <v>0.16250000000000001</v>
      </c>
      <c r="G35" s="62">
        <f>G14/G27</f>
        <v>0.19047619047619047</v>
      </c>
      <c r="K35" s="2"/>
      <c r="L35" s="2"/>
      <c r="M35" s="2"/>
      <c r="N35" s="2"/>
    </row>
    <row r="36" spans="1:14" ht="60" customHeight="1">
      <c r="A36" s="26">
        <v>29</v>
      </c>
      <c r="B36" s="9" t="s">
        <v>574</v>
      </c>
      <c r="C36" s="2" t="s">
        <v>781</v>
      </c>
      <c r="D36" s="62">
        <f>D14/D26</f>
        <v>0.1032258064516129</v>
      </c>
      <c r="E36" s="62">
        <f>E14/E26</f>
        <v>0.16423841059602648</v>
      </c>
      <c r="F36" s="62">
        <f>F14/F26</f>
        <v>0.21224489795918366</v>
      </c>
      <c r="G36" s="62">
        <f>G14/G26</f>
        <v>0.25174825174825177</v>
      </c>
      <c r="I36" s="9"/>
      <c r="K36" s="2"/>
      <c r="L36" s="2"/>
      <c r="M36" s="2"/>
      <c r="N36" s="2"/>
    </row>
    <row r="37" spans="1:14" ht="29.5">
      <c r="B37" s="42" t="s">
        <v>678</v>
      </c>
      <c r="C37" s="33"/>
      <c r="K37" s="2"/>
      <c r="L37" s="2"/>
      <c r="M37" s="2"/>
      <c r="N37" s="2"/>
    </row>
    <row r="38" spans="1:14" ht="29.5">
      <c r="B38" s="40" t="s">
        <v>697</v>
      </c>
      <c r="C38" s="33"/>
      <c r="K38" s="2"/>
      <c r="L38" s="2"/>
      <c r="M38" s="2"/>
      <c r="N38" s="2"/>
    </row>
    <row r="39" spans="1:14" ht="44.25" customHeight="1">
      <c r="B39" s="102" t="s">
        <v>968</v>
      </c>
      <c r="C39" s="33"/>
      <c r="K39" s="2"/>
      <c r="L39" s="2"/>
      <c r="M39" s="2"/>
      <c r="N39" s="2"/>
    </row>
    <row r="40" spans="1:14" ht="44.25">
      <c r="A40" s="26">
        <v>30</v>
      </c>
      <c r="B40" s="9" t="s">
        <v>744</v>
      </c>
      <c r="C40" s="9" t="s">
        <v>745</v>
      </c>
      <c r="D40" s="64">
        <v>0</v>
      </c>
      <c r="E40" s="64">
        <f>D46</f>
        <v>300</v>
      </c>
      <c r="F40" s="64">
        <f>E46</f>
        <v>230</v>
      </c>
      <c r="G40" s="64">
        <f t="shared" ref="G40" si="11">F46</f>
        <v>153</v>
      </c>
      <c r="I40" s="2"/>
      <c r="J40" s="2"/>
      <c r="K40" s="2"/>
      <c r="L40" s="2"/>
      <c r="M40" s="2"/>
      <c r="N40" s="2"/>
    </row>
    <row r="41" spans="1:14">
      <c r="A41" s="26">
        <v>31</v>
      </c>
      <c r="B41" s="9" t="s">
        <v>652</v>
      </c>
      <c r="C41" s="9" t="s">
        <v>721</v>
      </c>
      <c r="D41" s="2">
        <v>300</v>
      </c>
      <c r="E41" s="2">
        <v>0</v>
      </c>
      <c r="F41" s="2">
        <v>0</v>
      </c>
      <c r="G41" s="2">
        <v>0</v>
      </c>
      <c r="I41" s="2"/>
      <c r="J41" s="2"/>
      <c r="K41" s="2"/>
      <c r="L41" s="2"/>
      <c r="M41" s="2"/>
      <c r="N41" s="2"/>
    </row>
    <row r="42" spans="1:14" ht="29.5">
      <c r="A42" s="26">
        <v>32</v>
      </c>
      <c r="B42" s="9" t="s">
        <v>585</v>
      </c>
      <c r="C42" s="9" t="s">
        <v>696</v>
      </c>
      <c r="D42" s="13">
        <v>0.1</v>
      </c>
      <c r="E42" s="13">
        <v>0.1</v>
      </c>
      <c r="F42" s="13">
        <v>0.1</v>
      </c>
      <c r="G42" s="13">
        <v>0.1</v>
      </c>
      <c r="I42" s="2"/>
      <c r="J42" s="2"/>
      <c r="K42" s="2"/>
      <c r="L42" s="2"/>
      <c r="M42" s="2"/>
      <c r="N42" s="2"/>
    </row>
    <row r="43" spans="1:14" ht="29.5">
      <c r="A43" s="26">
        <v>33</v>
      </c>
      <c r="B43" s="9" t="s">
        <v>586</v>
      </c>
      <c r="C43" s="9" t="s">
        <v>746</v>
      </c>
      <c r="D43" s="52">
        <f xml:space="preserve"> D42 * D40</f>
        <v>0</v>
      </c>
      <c r="E43" s="52">
        <f xml:space="preserve"> E42 * E40</f>
        <v>30</v>
      </c>
      <c r="F43" s="52">
        <f xml:space="preserve"> F42 * F40</f>
        <v>23</v>
      </c>
      <c r="G43" s="52">
        <f xml:space="preserve"> G42 * G40</f>
        <v>15.3</v>
      </c>
      <c r="K43" s="2"/>
      <c r="L43" s="2"/>
      <c r="M43" s="2"/>
      <c r="N43" s="2"/>
    </row>
    <row r="44" spans="1:14" ht="29.5">
      <c r="A44" s="26">
        <v>34</v>
      </c>
      <c r="B44" s="9" t="s">
        <v>645</v>
      </c>
      <c r="C44" s="9" t="s">
        <v>721</v>
      </c>
      <c r="D44">
        <v>0</v>
      </c>
      <c r="E44">
        <v>100</v>
      </c>
      <c r="F44">
        <v>100</v>
      </c>
      <c r="G44">
        <v>100</v>
      </c>
      <c r="K44" s="2"/>
      <c r="L44" s="2"/>
      <c r="M44" s="2"/>
      <c r="N44" s="2"/>
    </row>
    <row r="45" spans="1:14" ht="44.25">
      <c r="A45" s="26">
        <v>35</v>
      </c>
      <c r="B45" s="9" t="s">
        <v>644</v>
      </c>
      <c r="C45" s="9" t="s">
        <v>830</v>
      </c>
      <c r="D45" s="52">
        <f>D44+D43*(1-D47)</f>
        <v>0</v>
      </c>
      <c r="E45" s="52">
        <f t="shared" ref="E45:G45" si="12">E44+E43*(1-E47)</f>
        <v>100</v>
      </c>
      <c r="F45" s="52">
        <f t="shared" si="12"/>
        <v>100</v>
      </c>
      <c r="G45" s="52">
        <f t="shared" si="12"/>
        <v>100</v>
      </c>
      <c r="K45" s="2"/>
      <c r="L45" s="2"/>
      <c r="M45" s="2"/>
      <c r="N45" s="2"/>
    </row>
    <row r="46" spans="1:14" ht="93" customHeight="1">
      <c r="A46" s="26">
        <v>36</v>
      </c>
      <c r="B46" s="9" t="s">
        <v>658</v>
      </c>
      <c r="C46" s="9" t="s">
        <v>960</v>
      </c>
      <c r="D46" s="52">
        <f>D40 + D41 -D44+ D43*D47</f>
        <v>300</v>
      </c>
      <c r="E46" s="52">
        <f t="shared" ref="E46:G46" si="13">E40 + E41 -E44+ E43*E47</f>
        <v>230</v>
      </c>
      <c r="F46" s="52">
        <f t="shared" si="13"/>
        <v>153</v>
      </c>
      <c r="G46" s="52">
        <f t="shared" si="13"/>
        <v>68.3</v>
      </c>
      <c r="K46" s="2"/>
      <c r="L46" s="2"/>
      <c r="M46" s="2"/>
      <c r="N46" s="2"/>
    </row>
    <row r="47" spans="1:14" ht="29.5">
      <c r="A47" s="26">
        <v>37</v>
      </c>
      <c r="B47" s="9" t="s">
        <v>659</v>
      </c>
      <c r="C47" s="9" t="s">
        <v>660</v>
      </c>
      <c r="D47" s="25">
        <v>1</v>
      </c>
      <c r="E47" s="25">
        <v>1</v>
      </c>
      <c r="F47" s="25">
        <v>1</v>
      </c>
      <c r="G47" s="25">
        <v>1</v>
      </c>
      <c r="K47" s="2"/>
      <c r="L47" s="2"/>
      <c r="M47" s="2"/>
      <c r="N47" s="2"/>
    </row>
    <row r="48" spans="1:14" ht="29.5">
      <c r="B48" s="44" t="s">
        <v>679</v>
      </c>
      <c r="C48" s="9"/>
      <c r="D48" s="25"/>
      <c r="E48" s="14"/>
      <c r="F48" s="14"/>
      <c r="G48" s="14"/>
      <c r="K48" s="2"/>
      <c r="L48" s="2"/>
      <c r="M48" s="2"/>
      <c r="N48" s="2"/>
    </row>
    <row r="49" spans="1:14" ht="44.25">
      <c r="A49" s="9">
        <v>38</v>
      </c>
      <c r="B49" s="9" t="s">
        <v>747</v>
      </c>
      <c r="C49" s="9" t="s">
        <v>831</v>
      </c>
      <c r="D49" s="65">
        <v>0</v>
      </c>
      <c r="E49" s="66">
        <f>D59</f>
        <v>100</v>
      </c>
      <c r="F49" s="66">
        <f t="shared" ref="F49:G49" si="14">E59</f>
        <v>72.900000000000006</v>
      </c>
      <c r="G49" s="66">
        <f t="shared" si="14"/>
        <v>44.119800000000012</v>
      </c>
      <c r="H49" s="2"/>
      <c r="I49" s="2"/>
      <c r="J49" s="2"/>
      <c r="K49" s="2"/>
      <c r="L49" s="2"/>
      <c r="M49" s="2"/>
    </row>
    <row r="50" spans="1:14" ht="29.5">
      <c r="A50" s="9">
        <v>39</v>
      </c>
      <c r="B50" s="9" t="s">
        <v>699</v>
      </c>
      <c r="C50" s="9" t="s">
        <v>700</v>
      </c>
      <c r="D50" s="9">
        <v>3</v>
      </c>
      <c r="E50" s="9">
        <v>3</v>
      </c>
      <c r="F50" s="9">
        <v>3</v>
      </c>
      <c r="G50" s="9">
        <v>3</v>
      </c>
      <c r="H50" s="2"/>
      <c r="I50" s="2"/>
      <c r="J50" s="2"/>
      <c r="K50" s="2"/>
      <c r="L50" s="2"/>
      <c r="M50" s="2"/>
    </row>
    <row r="51" spans="1:14" ht="29.5">
      <c r="A51" s="9">
        <v>40</v>
      </c>
      <c r="B51" s="9" t="s">
        <v>701</v>
      </c>
      <c r="C51" s="9" t="s">
        <v>748</v>
      </c>
      <c r="D51" s="65">
        <f>D49*D50</f>
        <v>0</v>
      </c>
      <c r="E51" s="65">
        <f>E49*E50</f>
        <v>300</v>
      </c>
      <c r="F51" s="65">
        <f t="shared" ref="F51:G51" si="15">F49*F50</f>
        <v>218.70000000000002</v>
      </c>
      <c r="G51" s="65">
        <f t="shared" si="15"/>
        <v>132.35940000000005</v>
      </c>
      <c r="H51" s="2"/>
      <c r="I51" s="2"/>
      <c r="J51" s="2"/>
      <c r="K51" s="2"/>
      <c r="L51" s="2"/>
      <c r="M51" s="2"/>
    </row>
    <row r="52" spans="1:14">
      <c r="A52" s="9">
        <v>41</v>
      </c>
      <c r="B52" s="9" t="s">
        <v>652</v>
      </c>
      <c r="C52" s="9" t="s">
        <v>721</v>
      </c>
      <c r="D52" s="9">
        <v>100</v>
      </c>
      <c r="E52" s="9">
        <v>0</v>
      </c>
      <c r="F52" s="9">
        <v>0</v>
      </c>
      <c r="G52" s="9">
        <v>0</v>
      </c>
      <c r="H52" s="2"/>
      <c r="I52" s="2"/>
      <c r="J52" s="2"/>
      <c r="K52" s="2"/>
      <c r="L52" s="2"/>
      <c r="M52" s="2"/>
    </row>
    <row r="53" spans="1:14" ht="29.5">
      <c r="A53" s="9">
        <v>42</v>
      </c>
      <c r="B53" s="9" t="s">
        <v>585</v>
      </c>
      <c r="C53" s="9" t="s">
        <v>749</v>
      </c>
      <c r="D53" s="28">
        <v>6.2E-2</v>
      </c>
      <c r="E53" s="28">
        <v>6.2E-2</v>
      </c>
      <c r="F53" s="28">
        <v>6.2E-2</v>
      </c>
      <c r="G53" s="28">
        <v>6.2E-2</v>
      </c>
      <c r="H53" s="2"/>
      <c r="I53" s="2"/>
      <c r="J53" s="7"/>
      <c r="K53" s="7"/>
      <c r="L53" s="7"/>
      <c r="M53" s="7"/>
    </row>
    <row r="54" spans="1:14" ht="29.5">
      <c r="A54" s="9">
        <v>43</v>
      </c>
      <c r="B54" s="9" t="s">
        <v>703</v>
      </c>
      <c r="C54" s="9" t="s">
        <v>702</v>
      </c>
      <c r="D54" s="66">
        <f>D53*D49</f>
        <v>0</v>
      </c>
      <c r="E54" s="66">
        <f t="shared" ref="E54:G55" si="16">E53*E49</f>
        <v>6.2</v>
      </c>
      <c r="F54" s="66">
        <f t="shared" si="16"/>
        <v>4.5198</v>
      </c>
      <c r="G54" s="66">
        <f t="shared" si="16"/>
        <v>2.7354276000000008</v>
      </c>
      <c r="H54" s="2"/>
      <c r="I54" s="2"/>
      <c r="J54" s="2"/>
      <c r="K54" s="2"/>
      <c r="L54" s="2"/>
      <c r="M54" s="2"/>
    </row>
    <row r="55" spans="1:14" ht="29.5">
      <c r="A55" s="9">
        <v>44</v>
      </c>
      <c r="B55" s="9" t="s">
        <v>704</v>
      </c>
      <c r="C55" s="9" t="s">
        <v>705</v>
      </c>
      <c r="D55" s="66">
        <f>D54*D50</f>
        <v>0</v>
      </c>
      <c r="E55" s="66">
        <f t="shared" si="16"/>
        <v>18.600000000000001</v>
      </c>
      <c r="F55" s="66">
        <f>F54*F50</f>
        <v>13.5594</v>
      </c>
      <c r="G55" s="66">
        <f t="shared" si="16"/>
        <v>8.2062828000000021</v>
      </c>
      <c r="H55" s="2"/>
      <c r="I55" s="2"/>
      <c r="J55" s="2"/>
      <c r="K55" s="2"/>
      <c r="L55" s="2"/>
      <c r="M55" s="2"/>
    </row>
    <row r="56" spans="1:14" ht="29.5">
      <c r="A56" s="9">
        <v>45</v>
      </c>
      <c r="B56" s="9" t="s">
        <v>706</v>
      </c>
      <c r="C56" s="9" t="s">
        <v>721</v>
      </c>
      <c r="D56" s="2">
        <v>0</v>
      </c>
      <c r="E56" s="2">
        <v>33.299999999999997</v>
      </c>
      <c r="F56" s="2">
        <v>33.299999999999997</v>
      </c>
      <c r="G56" s="2">
        <v>33.299999999999997</v>
      </c>
      <c r="H56" s="2"/>
      <c r="I56" s="2"/>
      <c r="J56" s="2"/>
      <c r="K56" s="2"/>
      <c r="L56" s="2"/>
      <c r="M56" s="2"/>
    </row>
    <row r="57" spans="1:14" ht="44.25">
      <c r="A57" s="9">
        <v>46</v>
      </c>
      <c r="B57" s="2" t="s">
        <v>707</v>
      </c>
      <c r="C57" s="2" t="s">
        <v>750</v>
      </c>
      <c r="D57" s="56">
        <f>D56+D54*(1-D61)</f>
        <v>0</v>
      </c>
      <c r="E57" s="56">
        <f t="shared" ref="E57:G57" si="17">E56+E54*(1-E61)</f>
        <v>33.299999999999997</v>
      </c>
      <c r="F57" s="56">
        <f t="shared" si="17"/>
        <v>33.299999999999997</v>
      </c>
      <c r="G57" s="56">
        <f t="shared" si="17"/>
        <v>33.299999999999997</v>
      </c>
      <c r="H57" s="2"/>
      <c r="I57" s="2"/>
      <c r="J57" s="2"/>
      <c r="K57" s="2"/>
      <c r="L57" s="2"/>
      <c r="M57" s="2"/>
    </row>
    <row r="58" spans="1:14" ht="29.5">
      <c r="A58" s="9">
        <v>47</v>
      </c>
      <c r="B58" s="2" t="s">
        <v>751</v>
      </c>
      <c r="C58" s="2" t="s">
        <v>958</v>
      </c>
      <c r="D58" s="56">
        <f>D57*D50</f>
        <v>0</v>
      </c>
      <c r="E58" s="56">
        <f t="shared" ref="E58:G58" si="18">E57*E50</f>
        <v>99.899999999999991</v>
      </c>
      <c r="F58" s="56">
        <f t="shared" si="18"/>
        <v>99.899999999999991</v>
      </c>
      <c r="G58" s="56">
        <f t="shared" si="18"/>
        <v>99.899999999999991</v>
      </c>
      <c r="H58" s="2"/>
      <c r="I58" s="2"/>
      <c r="J58" s="2"/>
      <c r="K58" s="2"/>
      <c r="L58" s="2"/>
      <c r="M58" s="2"/>
    </row>
    <row r="59" spans="1:14" ht="59">
      <c r="A59" s="9">
        <v>48</v>
      </c>
      <c r="B59" s="9" t="s">
        <v>658</v>
      </c>
      <c r="C59" s="9" t="s">
        <v>708</v>
      </c>
      <c r="D59" s="56">
        <f>D49+D52-D56+D54*$D$61</f>
        <v>100</v>
      </c>
      <c r="E59" s="56">
        <f t="shared" ref="E59:G59" si="19">E49+E52-E56+E54*$D$61</f>
        <v>72.900000000000006</v>
      </c>
      <c r="F59" s="56">
        <f t="shared" si="19"/>
        <v>44.119800000000012</v>
      </c>
      <c r="G59" s="56">
        <f t="shared" si="19"/>
        <v>13.555227600000016</v>
      </c>
      <c r="H59" s="2"/>
      <c r="I59" s="2"/>
      <c r="J59" s="2"/>
      <c r="K59" s="2"/>
      <c r="L59" s="2"/>
      <c r="M59" s="2"/>
    </row>
    <row r="60" spans="1:14" ht="29.5">
      <c r="A60" s="9">
        <v>49</v>
      </c>
      <c r="B60" s="2" t="s">
        <v>752</v>
      </c>
      <c r="C60" s="2" t="s">
        <v>959</v>
      </c>
      <c r="D60" s="51">
        <f>D59*D50</f>
        <v>300</v>
      </c>
      <c r="E60" s="51">
        <f t="shared" ref="E60:G60" si="20">E59*E50</f>
        <v>218.70000000000002</v>
      </c>
      <c r="F60" s="51">
        <f t="shared" si="20"/>
        <v>132.35940000000005</v>
      </c>
      <c r="G60" s="51">
        <f t="shared" si="20"/>
        <v>40.665682800000049</v>
      </c>
      <c r="H60" s="2"/>
      <c r="I60" s="2"/>
      <c r="J60" s="2"/>
      <c r="K60" s="2"/>
      <c r="L60" s="2"/>
      <c r="M60" s="2"/>
    </row>
    <row r="61" spans="1:14" ht="29.5">
      <c r="A61" s="9">
        <v>50</v>
      </c>
      <c r="B61" s="9" t="s">
        <v>659</v>
      </c>
      <c r="C61" s="9" t="s">
        <v>660</v>
      </c>
      <c r="D61" s="25">
        <v>1</v>
      </c>
      <c r="E61" s="25">
        <v>1</v>
      </c>
      <c r="F61" s="25">
        <v>1</v>
      </c>
      <c r="G61" s="25">
        <v>1</v>
      </c>
      <c r="H61" s="2"/>
      <c r="I61" s="2"/>
      <c r="J61" s="2"/>
      <c r="K61" s="2"/>
      <c r="L61" s="2"/>
      <c r="M61" s="2"/>
    </row>
    <row r="62" spans="1:14" ht="29.5">
      <c r="B62" s="44" t="s">
        <v>712</v>
      </c>
      <c r="C62" s="9"/>
      <c r="D62" s="25"/>
      <c r="E62" s="14"/>
      <c r="F62" s="14"/>
      <c r="G62" s="14"/>
      <c r="K62" s="2"/>
      <c r="L62" s="2"/>
      <c r="M62" s="2"/>
      <c r="N62" s="2"/>
    </row>
    <row r="63" spans="1:14" ht="44.25">
      <c r="A63" s="2">
        <v>51</v>
      </c>
      <c r="B63" s="2" t="s">
        <v>724</v>
      </c>
      <c r="C63" s="2" t="s">
        <v>753</v>
      </c>
      <c r="D63" s="64">
        <v>0</v>
      </c>
      <c r="E63" s="64">
        <f>D69</f>
        <v>200</v>
      </c>
      <c r="F63" s="64">
        <f t="shared" ref="F63:G63" si="21">E69</f>
        <v>166</v>
      </c>
      <c r="G63" s="64">
        <f t="shared" si="21"/>
        <v>116</v>
      </c>
      <c r="K63" s="2"/>
      <c r="L63" s="2"/>
      <c r="M63" s="2"/>
      <c r="N63" s="2"/>
    </row>
    <row r="64" spans="1:14">
      <c r="A64" s="2">
        <v>52</v>
      </c>
      <c r="B64" s="2" t="s">
        <v>709</v>
      </c>
      <c r="C64" s="2" t="s">
        <v>721</v>
      </c>
      <c r="D64" s="2">
        <v>200</v>
      </c>
      <c r="E64" s="2">
        <v>0</v>
      </c>
      <c r="F64" s="2">
        <v>0</v>
      </c>
      <c r="G64" s="2">
        <v>0</v>
      </c>
      <c r="H64" s="2"/>
      <c r="I64" s="2"/>
      <c r="J64" s="2"/>
      <c r="K64" s="2"/>
      <c r="L64" s="2"/>
      <c r="M64" s="2"/>
      <c r="N64" s="2"/>
    </row>
    <row r="65" spans="1:14">
      <c r="A65" s="2">
        <v>53</v>
      </c>
      <c r="B65" s="2" t="s">
        <v>710</v>
      </c>
      <c r="C65" s="2" t="s">
        <v>721</v>
      </c>
      <c r="D65" s="6">
        <v>0.08</v>
      </c>
      <c r="E65" s="6">
        <v>0.08</v>
      </c>
      <c r="F65" s="6">
        <v>0.08</v>
      </c>
      <c r="G65" s="6">
        <v>0.08</v>
      </c>
      <c r="H65" s="2"/>
      <c r="I65" s="2"/>
      <c r="J65" s="2"/>
      <c r="K65" s="2"/>
      <c r="L65" s="2"/>
      <c r="M65" s="2"/>
      <c r="N65" s="2"/>
    </row>
    <row r="66" spans="1:14" ht="29.5">
      <c r="A66" s="2">
        <v>54</v>
      </c>
      <c r="B66" s="2" t="s">
        <v>711</v>
      </c>
      <c r="C66" s="2" t="s">
        <v>957</v>
      </c>
      <c r="D66" s="64">
        <f>D65*D63</f>
        <v>0</v>
      </c>
      <c r="E66" s="64">
        <f t="shared" ref="E66:G66" si="22">E65*E63</f>
        <v>16</v>
      </c>
      <c r="F66" s="64">
        <f t="shared" si="22"/>
        <v>13.280000000000001</v>
      </c>
      <c r="G66" s="64">
        <f t="shared" si="22"/>
        <v>9.2799999999999994</v>
      </c>
      <c r="H66" s="2"/>
      <c r="I66" s="2"/>
      <c r="J66" s="2"/>
      <c r="K66" s="2"/>
      <c r="L66" s="2"/>
      <c r="M66" s="2"/>
      <c r="N66" s="2"/>
    </row>
    <row r="67" spans="1:14" ht="29.5">
      <c r="A67" s="2">
        <v>55</v>
      </c>
      <c r="B67" s="2" t="s">
        <v>645</v>
      </c>
      <c r="C67" s="2" t="s">
        <v>721</v>
      </c>
      <c r="D67" s="2">
        <v>0</v>
      </c>
      <c r="E67" s="2">
        <v>50</v>
      </c>
      <c r="F67" s="2">
        <v>50</v>
      </c>
      <c r="G67" s="2">
        <v>100</v>
      </c>
      <c r="H67" s="2"/>
      <c r="I67" s="2"/>
      <c r="J67" s="2"/>
      <c r="K67" s="2"/>
      <c r="L67" s="2"/>
      <c r="M67" s="2"/>
      <c r="N67" s="2"/>
    </row>
    <row r="68" spans="1:14" ht="44.25">
      <c r="A68" s="2">
        <v>56</v>
      </c>
      <c r="B68" s="2" t="s">
        <v>725</v>
      </c>
      <c r="C68" s="2" t="s">
        <v>940</v>
      </c>
      <c r="D68" s="64">
        <f>D67+D66*(1-D70)</f>
        <v>0</v>
      </c>
      <c r="E68" s="64">
        <f t="shared" ref="E68:G68" si="23">E67+E66*(1-E70)</f>
        <v>50</v>
      </c>
      <c r="F68" s="64">
        <f t="shared" si="23"/>
        <v>63.28</v>
      </c>
      <c r="G68" s="64">
        <f t="shared" si="23"/>
        <v>109.28</v>
      </c>
      <c r="H68" s="2"/>
      <c r="I68" s="2"/>
      <c r="J68" s="2"/>
      <c r="K68" s="2"/>
      <c r="L68" s="2"/>
      <c r="M68" s="2"/>
      <c r="N68" s="2"/>
    </row>
    <row r="69" spans="1:14" ht="59">
      <c r="A69" s="2">
        <v>57</v>
      </c>
      <c r="B69" s="2" t="s">
        <v>726</v>
      </c>
      <c r="C69" s="2" t="s">
        <v>941</v>
      </c>
      <c r="D69" s="64">
        <f>D63+D64-D67+D66*D70</f>
        <v>200</v>
      </c>
      <c r="E69" s="64">
        <f>E63+E64-E67+E66*E70</f>
        <v>166</v>
      </c>
      <c r="F69" s="64">
        <f t="shared" ref="F69:G69" si="24">F63+F64-F67+F66*F70</f>
        <v>116</v>
      </c>
      <c r="G69" s="64">
        <f t="shared" si="24"/>
        <v>16</v>
      </c>
      <c r="H69" s="2"/>
      <c r="I69" s="2"/>
      <c r="J69" s="2"/>
      <c r="K69" s="2"/>
      <c r="L69" s="2"/>
      <c r="M69" s="2"/>
      <c r="N69" s="2"/>
    </row>
    <row r="70" spans="1:14" ht="29.5">
      <c r="A70" s="2">
        <v>58</v>
      </c>
      <c r="B70" s="2" t="s">
        <v>659</v>
      </c>
      <c r="C70" s="2" t="s">
        <v>727</v>
      </c>
      <c r="D70" s="2">
        <v>1</v>
      </c>
      <c r="E70" s="2">
        <v>1</v>
      </c>
      <c r="F70" s="2">
        <v>0</v>
      </c>
      <c r="G70" s="2">
        <v>0</v>
      </c>
      <c r="H70" s="2"/>
      <c r="I70" s="2"/>
      <c r="J70" s="2"/>
      <c r="K70" s="2"/>
      <c r="L70" s="2"/>
      <c r="M70" s="2"/>
      <c r="N70" s="2"/>
    </row>
    <row r="71" spans="1:14" ht="29.5">
      <c r="A71" s="2">
        <v>59</v>
      </c>
      <c r="B71" s="2" t="s">
        <v>728</v>
      </c>
      <c r="C71" s="2" t="s">
        <v>729</v>
      </c>
      <c r="D71" s="2" t="s">
        <v>545</v>
      </c>
      <c r="E71" s="2" t="s">
        <v>545</v>
      </c>
      <c r="F71" s="2" t="s">
        <v>545</v>
      </c>
      <c r="G71" s="2" t="s">
        <v>545</v>
      </c>
      <c r="K71" s="2"/>
      <c r="L71" s="2"/>
      <c r="M71" s="2"/>
      <c r="N71" s="2"/>
    </row>
    <row r="72" spans="1:14" ht="29.5">
      <c r="B72" s="44" t="s">
        <v>713</v>
      </c>
      <c r="C72" s="9"/>
      <c r="D72" s="25"/>
      <c r="E72" s="14"/>
      <c r="F72" s="14"/>
      <c r="G72" s="14"/>
      <c r="K72" s="2"/>
      <c r="L72" s="2"/>
      <c r="M72" s="2"/>
      <c r="N72" s="2"/>
    </row>
    <row r="73" spans="1:14" ht="44.25">
      <c r="A73" s="2">
        <v>60</v>
      </c>
      <c r="B73" s="2" t="s">
        <v>719</v>
      </c>
      <c r="C73" s="2" t="s">
        <v>754</v>
      </c>
      <c r="D73" s="64">
        <v>0</v>
      </c>
      <c r="E73" s="64">
        <f>D81</f>
        <v>60</v>
      </c>
      <c r="F73" s="64">
        <f t="shared" ref="F73:G73" si="25">E81</f>
        <v>40</v>
      </c>
      <c r="G73" s="64">
        <f t="shared" si="25"/>
        <v>20</v>
      </c>
      <c r="H73" s="29"/>
      <c r="K73" s="2"/>
      <c r="L73" s="2"/>
      <c r="M73" s="2"/>
      <c r="N73" s="2"/>
    </row>
    <row r="74" spans="1:14" ht="29.5">
      <c r="A74" s="2">
        <v>61</v>
      </c>
      <c r="B74" s="2" t="s">
        <v>714</v>
      </c>
      <c r="C74" s="2" t="s">
        <v>721</v>
      </c>
      <c r="D74" s="2">
        <v>60</v>
      </c>
      <c r="E74" s="2">
        <v>0</v>
      </c>
      <c r="F74" s="2">
        <v>0</v>
      </c>
      <c r="G74" s="2">
        <v>0</v>
      </c>
      <c r="H74" s="29"/>
      <c r="K74" s="2"/>
      <c r="L74" s="2"/>
      <c r="M74" s="2"/>
      <c r="N74" s="2"/>
    </row>
    <row r="75" spans="1:14" ht="29.5">
      <c r="A75" s="2">
        <v>62</v>
      </c>
      <c r="B75" s="2" t="s">
        <v>720</v>
      </c>
      <c r="C75" s="2" t="s">
        <v>721</v>
      </c>
      <c r="D75" s="2">
        <v>0</v>
      </c>
      <c r="E75" s="2">
        <v>5</v>
      </c>
      <c r="F75" s="2">
        <v>0</v>
      </c>
      <c r="G75" s="2">
        <v>0</v>
      </c>
      <c r="H75" s="30"/>
      <c r="K75" s="2"/>
      <c r="L75" s="2"/>
      <c r="M75" s="2"/>
      <c r="N75" s="2"/>
    </row>
    <row r="76" spans="1:14">
      <c r="A76" s="2">
        <v>63</v>
      </c>
      <c r="B76" s="2" t="s">
        <v>715</v>
      </c>
      <c r="C76" s="2" t="s">
        <v>721</v>
      </c>
      <c r="D76" s="6">
        <v>0.1</v>
      </c>
      <c r="E76" s="6">
        <v>0.1</v>
      </c>
      <c r="F76" s="6">
        <v>0.1</v>
      </c>
      <c r="G76" s="6">
        <v>0.1</v>
      </c>
      <c r="H76" s="29"/>
      <c r="K76" s="2"/>
      <c r="L76" s="2"/>
      <c r="M76" s="2"/>
      <c r="N76" s="2"/>
    </row>
    <row r="77" spans="1:14" ht="29.5">
      <c r="A77" s="2">
        <v>64</v>
      </c>
      <c r="B77" s="2" t="s">
        <v>716</v>
      </c>
      <c r="C77" s="2" t="s">
        <v>942</v>
      </c>
      <c r="D77" s="64">
        <f>D76*D73</f>
        <v>0</v>
      </c>
      <c r="E77" s="67">
        <f t="shared" ref="E77:G77" si="26">E76*E73</f>
        <v>6</v>
      </c>
      <c r="F77" s="67">
        <f t="shared" si="26"/>
        <v>4</v>
      </c>
      <c r="G77" s="67">
        <f t="shared" si="26"/>
        <v>2</v>
      </c>
      <c r="H77" s="30"/>
      <c r="K77" s="2"/>
      <c r="L77" s="2"/>
      <c r="M77" s="2"/>
      <c r="N77" s="2"/>
    </row>
    <row r="78" spans="1:14" ht="29.5">
      <c r="A78" s="2">
        <v>65</v>
      </c>
      <c r="B78" s="2" t="s">
        <v>645</v>
      </c>
      <c r="C78" s="2" t="s">
        <v>721</v>
      </c>
      <c r="D78" s="2">
        <v>0</v>
      </c>
      <c r="E78" s="2">
        <v>20</v>
      </c>
      <c r="F78" s="2">
        <v>20</v>
      </c>
      <c r="G78" s="2">
        <v>20</v>
      </c>
      <c r="H78" s="29"/>
      <c r="K78" s="2"/>
      <c r="L78" s="2"/>
      <c r="M78" s="2"/>
      <c r="N78" s="2"/>
    </row>
    <row r="79" spans="1:14" ht="29.5">
      <c r="A79" s="2">
        <v>66</v>
      </c>
      <c r="B79" s="2" t="s">
        <v>722</v>
      </c>
      <c r="C79" s="2" t="s">
        <v>723</v>
      </c>
      <c r="D79" s="2">
        <v>0</v>
      </c>
      <c r="E79" s="2">
        <v>0</v>
      </c>
      <c r="F79" s="2">
        <v>0</v>
      </c>
      <c r="G79" s="2">
        <v>10</v>
      </c>
      <c r="H79" s="30"/>
      <c r="K79" s="2"/>
      <c r="L79" s="2"/>
      <c r="M79" s="2"/>
      <c r="N79" s="2"/>
    </row>
    <row r="80" spans="1:14" ht="59">
      <c r="A80" s="2">
        <v>67</v>
      </c>
      <c r="B80" s="2" t="s">
        <v>717</v>
      </c>
      <c r="C80" s="2" t="s">
        <v>943</v>
      </c>
      <c r="D80" s="64">
        <f>D75+D78+D79+D77*(1-D82)</f>
        <v>0</v>
      </c>
      <c r="E80" s="51">
        <f>E75+E78+E79+E77*(1-E82)</f>
        <v>31</v>
      </c>
      <c r="F80" s="51">
        <f t="shared" ref="F80:G80" si="27">F75+F78+F79+F77*(1-F82)</f>
        <v>24</v>
      </c>
      <c r="G80" s="51">
        <f t="shared" si="27"/>
        <v>32</v>
      </c>
      <c r="H80" s="45"/>
      <c r="J80" s="2"/>
      <c r="K80" s="2"/>
      <c r="L80" s="2"/>
      <c r="M80" s="2"/>
    </row>
    <row r="81" spans="1:13" ht="59">
      <c r="A81" s="32">
        <v>68</v>
      </c>
      <c r="B81" s="32" t="s">
        <v>718</v>
      </c>
      <c r="C81" s="32" t="s">
        <v>755</v>
      </c>
      <c r="D81" s="64">
        <f>D73+D74-D78+D77*D82</f>
        <v>60</v>
      </c>
      <c r="E81" s="64">
        <f>E73+E74-E78+E77*E82</f>
        <v>40</v>
      </c>
      <c r="F81" s="64">
        <f t="shared" ref="F81:G81" si="28">F73+F74-F78+F77*F82</f>
        <v>20</v>
      </c>
      <c r="G81" s="64">
        <f t="shared" si="28"/>
        <v>0</v>
      </c>
      <c r="H81" s="30"/>
      <c r="J81" s="2"/>
      <c r="K81" s="2"/>
      <c r="L81" s="2"/>
      <c r="M81" s="2"/>
    </row>
    <row r="82" spans="1:13" ht="29.5">
      <c r="A82" s="2">
        <v>69</v>
      </c>
      <c r="B82" s="2" t="s">
        <v>659</v>
      </c>
      <c r="C82" s="2" t="s">
        <v>727</v>
      </c>
      <c r="D82" s="2">
        <v>0</v>
      </c>
      <c r="E82" s="2">
        <v>0</v>
      </c>
      <c r="F82" s="2">
        <v>0</v>
      </c>
      <c r="G82" s="2">
        <v>0</v>
      </c>
      <c r="H82" s="29"/>
      <c r="J82" s="2"/>
      <c r="K82" s="2"/>
      <c r="L82" s="2"/>
      <c r="M82" s="2"/>
    </row>
    <row r="83" spans="1:13">
      <c r="B83" s="44" t="s">
        <v>760</v>
      </c>
      <c r="C83" s="33"/>
      <c r="H83" s="29"/>
      <c r="J83" s="2"/>
      <c r="K83" s="2"/>
      <c r="L83" s="2"/>
      <c r="M83" s="2"/>
    </row>
    <row r="84" spans="1:13" ht="44.25">
      <c r="A84" s="2">
        <v>70</v>
      </c>
      <c r="B84" s="2" t="s">
        <v>719</v>
      </c>
      <c r="C84" s="2" t="s">
        <v>756</v>
      </c>
      <c r="D84" s="64">
        <v>0</v>
      </c>
      <c r="E84" s="64">
        <f>D91</f>
        <v>250</v>
      </c>
      <c r="F84" s="64">
        <f t="shared" ref="F84:G84" si="29">E91</f>
        <v>250</v>
      </c>
      <c r="G84" s="64">
        <f t="shared" si="29"/>
        <v>200</v>
      </c>
      <c r="J84" s="2"/>
      <c r="K84" s="2"/>
      <c r="L84" s="2"/>
      <c r="M84" s="2"/>
    </row>
    <row r="85" spans="1:13">
      <c r="A85" s="2">
        <v>71</v>
      </c>
      <c r="B85" s="2" t="s">
        <v>730</v>
      </c>
      <c r="C85" s="2" t="s">
        <v>721</v>
      </c>
      <c r="D85" s="2">
        <v>250</v>
      </c>
      <c r="E85" s="2">
        <v>0</v>
      </c>
      <c r="F85" s="2">
        <v>0</v>
      </c>
      <c r="G85" s="2">
        <v>0</v>
      </c>
      <c r="H85" s="30"/>
      <c r="J85" s="2"/>
      <c r="K85" s="2"/>
      <c r="L85" s="2"/>
      <c r="M85" s="2"/>
    </row>
    <row r="86" spans="1:13">
      <c r="A86" s="2">
        <v>72</v>
      </c>
      <c r="B86" s="2" t="s">
        <v>731</v>
      </c>
      <c r="C86" s="2" t="s">
        <v>721</v>
      </c>
      <c r="D86" s="2">
        <v>250</v>
      </c>
      <c r="E86" s="2">
        <v>250</v>
      </c>
      <c r="F86" s="2">
        <v>250</v>
      </c>
      <c r="G86" s="2">
        <v>250</v>
      </c>
      <c r="H86" s="29"/>
      <c r="J86" s="2"/>
      <c r="K86" s="2"/>
      <c r="L86" s="2"/>
      <c r="M86" s="2"/>
    </row>
    <row r="87" spans="1:13">
      <c r="A87" s="2">
        <v>73</v>
      </c>
      <c r="B87" s="2" t="s">
        <v>732</v>
      </c>
      <c r="C87" s="2" t="s">
        <v>721</v>
      </c>
      <c r="D87" s="6">
        <v>0.12</v>
      </c>
      <c r="E87" s="6">
        <v>0.12</v>
      </c>
      <c r="F87" s="6">
        <v>0.12</v>
      </c>
      <c r="G87" s="6">
        <v>0.12</v>
      </c>
      <c r="H87" s="30"/>
      <c r="J87" s="2"/>
      <c r="K87" s="2"/>
      <c r="L87" s="2"/>
      <c r="M87" s="2"/>
    </row>
    <row r="88" spans="1:13" ht="29.5">
      <c r="A88" s="2">
        <v>74</v>
      </c>
      <c r="B88" s="2" t="s">
        <v>733</v>
      </c>
      <c r="C88" s="2" t="s">
        <v>757</v>
      </c>
      <c r="D88" s="64">
        <v>0</v>
      </c>
      <c r="E88" s="64">
        <f>E87*E86</f>
        <v>30</v>
      </c>
      <c r="F88" s="64">
        <f t="shared" ref="F88:G88" si="30">F87*F86</f>
        <v>30</v>
      </c>
      <c r="G88" s="64">
        <f t="shared" si="30"/>
        <v>30</v>
      </c>
      <c r="H88" s="29"/>
      <c r="J88" s="2"/>
      <c r="K88" s="2"/>
      <c r="L88" s="2"/>
      <c r="M88" s="2"/>
    </row>
    <row r="89" spans="1:13" ht="16.899999999999999" customHeight="1">
      <c r="A89" s="2">
        <v>75</v>
      </c>
      <c r="B89" s="2" t="s">
        <v>734</v>
      </c>
      <c r="C89" s="2" t="s">
        <v>721</v>
      </c>
      <c r="D89" s="2">
        <v>0</v>
      </c>
      <c r="E89" s="2">
        <v>0</v>
      </c>
      <c r="F89" s="2">
        <v>50</v>
      </c>
      <c r="G89" s="2">
        <v>200</v>
      </c>
      <c r="H89" s="30"/>
    </row>
    <row r="90" spans="1:13" ht="44.25">
      <c r="A90" s="2">
        <v>76</v>
      </c>
      <c r="B90" s="2" t="s">
        <v>735</v>
      </c>
      <c r="C90" s="2" t="s">
        <v>758</v>
      </c>
      <c r="D90" s="64">
        <v>0</v>
      </c>
      <c r="E90" s="64">
        <f>E88+E89*(1-E92)</f>
        <v>30</v>
      </c>
      <c r="F90" s="64">
        <f t="shared" ref="F90:G90" si="31">F88+F89*(1-F92)</f>
        <v>80</v>
      </c>
      <c r="G90" s="64">
        <f t="shared" si="31"/>
        <v>230</v>
      </c>
      <c r="H90" s="29"/>
    </row>
    <row r="91" spans="1:13" s="38" customFormat="1" ht="59">
      <c r="A91" s="32">
        <v>77</v>
      </c>
      <c r="B91" s="32" t="s">
        <v>718</v>
      </c>
      <c r="C91" s="32" t="s">
        <v>759</v>
      </c>
      <c r="D91" s="64">
        <f>D84+D85-D89+D88*D92</f>
        <v>250</v>
      </c>
      <c r="E91" s="64">
        <f t="shared" ref="E91:G91" si="32">E84+E85-E89+E88*E92</f>
        <v>250</v>
      </c>
      <c r="F91" s="64">
        <f t="shared" si="32"/>
        <v>200</v>
      </c>
      <c r="G91" s="64">
        <f t="shared" si="32"/>
        <v>0</v>
      </c>
      <c r="H91" s="46"/>
    </row>
    <row r="92" spans="1:13" ht="29.5">
      <c r="A92" s="2">
        <v>78</v>
      </c>
      <c r="B92" s="2" t="s">
        <v>659</v>
      </c>
      <c r="C92" s="2" t="s">
        <v>727</v>
      </c>
      <c r="D92" s="2">
        <v>0</v>
      </c>
      <c r="E92" s="2">
        <v>0</v>
      </c>
      <c r="F92" s="2">
        <v>0</v>
      </c>
      <c r="G92" s="2">
        <v>0</v>
      </c>
      <c r="I92" s="1"/>
      <c r="J92" s="13"/>
      <c r="K92" s="6"/>
      <c r="L92" s="6"/>
      <c r="M92" s="6"/>
    </row>
    <row r="93" spans="1:13" ht="29.5">
      <c r="B93" s="44" t="s">
        <v>761</v>
      </c>
      <c r="C93" s="9"/>
      <c r="D93" s="25"/>
      <c r="E93" s="14"/>
      <c r="F93" s="14"/>
      <c r="G93" s="14"/>
      <c r="I93" s="2"/>
      <c r="J93" s="13"/>
      <c r="K93" s="6"/>
      <c r="L93" s="6"/>
      <c r="M93" s="6"/>
    </row>
    <row r="94" spans="1:13" ht="29.5">
      <c r="A94" s="2">
        <v>79</v>
      </c>
      <c r="B94" s="2" t="s">
        <v>736</v>
      </c>
      <c r="C94" s="2" t="s">
        <v>737</v>
      </c>
      <c r="D94" s="2">
        <v>0</v>
      </c>
      <c r="E94" s="2">
        <v>20</v>
      </c>
      <c r="F94" s="2">
        <v>0</v>
      </c>
      <c r="G94" s="2">
        <v>0</v>
      </c>
      <c r="I94" s="2"/>
      <c r="K94" s="2"/>
      <c r="L94" s="2"/>
      <c r="M94" s="2"/>
    </row>
    <row r="95" spans="1:13" ht="29.5">
      <c r="A95" s="2">
        <v>80</v>
      </c>
      <c r="B95" s="2" t="s">
        <v>738</v>
      </c>
      <c r="C95" s="2" t="s">
        <v>739</v>
      </c>
      <c r="D95" s="2">
        <v>0</v>
      </c>
      <c r="E95" s="2">
        <v>0</v>
      </c>
      <c r="F95" s="2">
        <v>30</v>
      </c>
      <c r="G95" s="2">
        <v>0</v>
      </c>
      <c r="H95" s="16"/>
      <c r="I95" s="2"/>
      <c r="K95" s="2"/>
      <c r="M95" s="2"/>
    </row>
    <row r="96" spans="1:13" ht="44.25">
      <c r="A96" s="2">
        <v>81</v>
      </c>
      <c r="B96" s="2" t="s">
        <v>740</v>
      </c>
      <c r="C96" s="2" t="s">
        <v>763</v>
      </c>
      <c r="D96" s="2" t="s">
        <v>545</v>
      </c>
      <c r="E96" s="2" t="s">
        <v>545</v>
      </c>
      <c r="F96" s="2" t="s">
        <v>545</v>
      </c>
      <c r="G96" s="2" t="s">
        <v>545</v>
      </c>
      <c r="H96" s="16"/>
      <c r="I96" s="2"/>
      <c r="J96" s="13"/>
      <c r="K96" s="6"/>
      <c r="M96" s="6"/>
    </row>
    <row r="97" spans="1:17" ht="29.5">
      <c r="A97" s="2">
        <v>82</v>
      </c>
      <c r="B97" s="2" t="s">
        <v>741</v>
      </c>
      <c r="C97" s="2" t="s">
        <v>879</v>
      </c>
      <c r="D97" s="64">
        <f>-D94</f>
        <v>0</v>
      </c>
      <c r="E97" s="64">
        <f>-E94</f>
        <v>-20</v>
      </c>
      <c r="F97" s="64">
        <f t="shared" ref="F97:G97" si="33">-F94</f>
        <v>0</v>
      </c>
      <c r="G97" s="64">
        <f t="shared" si="33"/>
        <v>0</v>
      </c>
      <c r="H97" s="18"/>
      <c r="I97" s="2"/>
      <c r="N97" s="13"/>
    </row>
    <row r="98" spans="1:17" ht="29.5">
      <c r="A98" s="2">
        <v>83</v>
      </c>
      <c r="B98" s="2" t="s">
        <v>742</v>
      </c>
      <c r="C98" s="2" t="s">
        <v>762</v>
      </c>
      <c r="D98" s="64">
        <f>D95</f>
        <v>0</v>
      </c>
      <c r="E98" s="64">
        <f t="shared" ref="E98:G98" si="34">E95</f>
        <v>0</v>
      </c>
      <c r="F98" s="64">
        <f>F95</f>
        <v>30</v>
      </c>
      <c r="G98" s="64">
        <f t="shared" si="34"/>
        <v>0</v>
      </c>
      <c r="H98" s="18"/>
      <c r="J98" s="1"/>
      <c r="K98" s="1"/>
      <c r="L98" s="1"/>
      <c r="M98" s="1"/>
      <c r="N98" s="13"/>
    </row>
    <row r="99" spans="1:17" ht="29.5">
      <c r="A99" s="2">
        <v>84</v>
      </c>
      <c r="B99" s="2" t="s">
        <v>743</v>
      </c>
      <c r="C99" s="2" t="s">
        <v>786</v>
      </c>
      <c r="D99" s="64">
        <f>-D94-D95</f>
        <v>0</v>
      </c>
      <c r="E99" s="64">
        <f t="shared" ref="E99:G99" si="35">-E94-E95</f>
        <v>-20</v>
      </c>
      <c r="F99" s="64">
        <f t="shared" si="35"/>
        <v>-30</v>
      </c>
      <c r="G99" s="64">
        <f t="shared" si="35"/>
        <v>0</v>
      </c>
      <c r="H99" s="18"/>
      <c r="J99" s="2"/>
      <c r="K99" s="2"/>
      <c r="L99" s="2"/>
      <c r="M99" s="2"/>
    </row>
    <row r="100" spans="1:17" ht="43" customHeight="1">
      <c r="B100" s="103" t="s">
        <v>764</v>
      </c>
      <c r="C100" s="9"/>
      <c r="D100" s="25"/>
      <c r="E100" s="14"/>
      <c r="F100" s="14"/>
      <c r="G100" s="14"/>
      <c r="H100" s="16"/>
      <c r="J100" s="2"/>
      <c r="K100" s="2"/>
      <c r="L100" s="2"/>
      <c r="M100" s="2"/>
    </row>
    <row r="101" spans="1:17" ht="29.5">
      <c r="A101" s="2">
        <v>85</v>
      </c>
      <c r="B101" s="2" t="s">
        <v>765</v>
      </c>
      <c r="C101" s="2" t="s">
        <v>771</v>
      </c>
      <c r="D101" s="64">
        <v>22</v>
      </c>
      <c r="E101" s="64">
        <f>D106</f>
        <v>17.600000000000001</v>
      </c>
      <c r="F101" s="64">
        <f t="shared" ref="F101:G101" si="36">E106</f>
        <v>13.200000000000001</v>
      </c>
      <c r="G101" s="64">
        <f t="shared" si="36"/>
        <v>8.8000000000000007</v>
      </c>
      <c r="J101" s="2"/>
      <c r="K101" s="2"/>
      <c r="L101" s="2"/>
      <c r="M101" s="2"/>
      <c r="N101" s="13"/>
    </row>
    <row r="102" spans="1:17">
      <c r="A102" s="2">
        <v>86</v>
      </c>
      <c r="B102" s="2" t="s">
        <v>766</v>
      </c>
      <c r="C102" s="2" t="s">
        <v>721</v>
      </c>
      <c r="D102" s="6">
        <v>0.1</v>
      </c>
      <c r="E102" s="6">
        <v>0.1</v>
      </c>
      <c r="F102" s="6">
        <v>0.1</v>
      </c>
      <c r="G102" s="6">
        <v>0.1</v>
      </c>
      <c r="J102" s="2"/>
      <c r="K102" s="6"/>
      <c r="L102" s="7"/>
      <c r="M102" s="6"/>
    </row>
    <row r="103" spans="1:17" ht="29.5">
      <c r="A103" s="2">
        <v>87</v>
      </c>
      <c r="B103" s="2" t="s">
        <v>711</v>
      </c>
      <c r="C103" s="2" t="s">
        <v>768</v>
      </c>
      <c r="D103" s="64">
        <f>D102*D101</f>
        <v>2.2000000000000002</v>
      </c>
      <c r="E103" s="64">
        <f t="shared" ref="E103:G103" si="37">E102*E101</f>
        <v>1.7600000000000002</v>
      </c>
      <c r="F103" s="64">
        <f t="shared" si="37"/>
        <v>1.3200000000000003</v>
      </c>
      <c r="G103" s="64">
        <f t="shared" si="37"/>
        <v>0.88000000000000012</v>
      </c>
      <c r="K103" s="2"/>
      <c r="L103" s="2"/>
      <c r="M103" s="2"/>
      <c r="N103" s="1"/>
    </row>
    <row r="104" spans="1:17" ht="29.5">
      <c r="A104" s="2">
        <v>88</v>
      </c>
      <c r="B104" s="2" t="s">
        <v>645</v>
      </c>
      <c r="C104" s="2" t="s">
        <v>785</v>
      </c>
      <c r="D104" s="2">
        <v>4.4000000000000004</v>
      </c>
      <c r="E104" s="2">
        <v>4.4000000000000004</v>
      </c>
      <c r="F104" s="2">
        <v>4.4000000000000004</v>
      </c>
      <c r="G104" s="2">
        <v>4.4000000000000004</v>
      </c>
      <c r="J104" s="2"/>
      <c r="K104" s="2"/>
      <c r="L104" s="2"/>
      <c r="M104" s="2"/>
      <c r="N104" s="2"/>
    </row>
    <row r="105" spans="1:17" ht="29.5">
      <c r="A105" s="2">
        <v>89</v>
      </c>
      <c r="B105" s="2" t="s">
        <v>725</v>
      </c>
      <c r="C105" s="2" t="s">
        <v>769</v>
      </c>
      <c r="D105" s="64">
        <f>D103+D104</f>
        <v>6.6000000000000005</v>
      </c>
      <c r="E105" s="64">
        <f>E103+E104</f>
        <v>6.16</v>
      </c>
      <c r="F105" s="64">
        <f t="shared" ref="F105:G105" si="38">F103+F104</f>
        <v>5.7200000000000006</v>
      </c>
      <c r="G105" s="64">
        <f t="shared" si="38"/>
        <v>5.28</v>
      </c>
      <c r="K105" s="2"/>
      <c r="L105" s="2"/>
      <c r="M105" s="2"/>
      <c r="N105" s="2"/>
      <c r="O105" s="2"/>
    </row>
    <row r="106" spans="1:17" ht="29.5">
      <c r="A106" s="2">
        <v>90</v>
      </c>
      <c r="B106" s="2" t="s">
        <v>767</v>
      </c>
      <c r="C106" s="2" t="s">
        <v>770</v>
      </c>
      <c r="D106" s="64">
        <f>D101-D104</f>
        <v>17.600000000000001</v>
      </c>
      <c r="E106" s="64">
        <f t="shared" ref="E106:G106" si="39">E101-E104</f>
        <v>13.200000000000001</v>
      </c>
      <c r="F106" s="64">
        <f t="shared" si="39"/>
        <v>8.8000000000000007</v>
      </c>
      <c r="G106" s="64">
        <f t="shared" si="39"/>
        <v>4.4000000000000004</v>
      </c>
      <c r="O106" s="2"/>
    </row>
    <row r="107" spans="1:17" ht="44.25">
      <c r="B107" s="42" t="s">
        <v>787</v>
      </c>
      <c r="C107" s="33"/>
    </row>
    <row r="108" spans="1:17" ht="88.5">
      <c r="A108" s="2">
        <v>91</v>
      </c>
      <c r="B108" s="9" t="s">
        <v>643</v>
      </c>
      <c r="C108" s="9" t="s">
        <v>951</v>
      </c>
      <c r="D108" s="52">
        <f xml:space="preserve"> IFERROR(D17 / D45, 0)</f>
        <v>0</v>
      </c>
      <c r="E108" s="62">
        <f xml:space="preserve"> IFERROR(E11 / (E45+E58+E68+E80+E90+E99+E105), 0)</f>
        <v>1.4891267757355418</v>
      </c>
      <c r="F108" s="62">
        <f xml:space="preserve"> IFERROR(F17 / (F45+F58+F68+F80+F90+F99+F105), 0)</f>
        <v>0.93904928550597844</v>
      </c>
      <c r="G108" s="62">
        <f xml:space="preserve"> IFERROR(G17 / (G45+G58+G68+G80+G90+G99+G105), 0)</f>
        <v>0.69389029594421137</v>
      </c>
    </row>
    <row r="109" spans="1:17" ht="73.75">
      <c r="A109" s="2">
        <v>92</v>
      </c>
      <c r="B109" s="9" t="s">
        <v>826</v>
      </c>
      <c r="C109" s="36" t="s">
        <v>952</v>
      </c>
      <c r="D109" s="52">
        <f xml:space="preserve"> IFERROR(D11 / D43, 0)</f>
        <v>0</v>
      </c>
      <c r="E109" s="62">
        <f xml:space="preserve"> IFERROR((E11+E9) /E9, 0)</f>
        <v>6.3710539096648864</v>
      </c>
      <c r="F109" s="62">
        <f xml:space="preserve"> IFERROR((F11+F9) /F9, 0)</f>
        <v>7.1667813535558018</v>
      </c>
      <c r="G109" s="62">
        <f xml:space="preserve"> IFERROR((G11+G9) /G9, 0)</f>
        <v>9.6142577085237395</v>
      </c>
      <c r="H109" s="95" t="s">
        <v>907</v>
      </c>
      <c r="Q109" s="1"/>
    </row>
    <row r="110" spans="1:17" ht="29.5">
      <c r="B110" s="42" t="s">
        <v>614</v>
      </c>
      <c r="C110" s="33"/>
      <c r="Q110" s="2"/>
    </row>
    <row r="111" spans="1:17">
      <c r="A111" s="2">
        <v>93</v>
      </c>
      <c r="B111" s="9" t="s">
        <v>615</v>
      </c>
      <c r="C111" s="9" t="s">
        <v>616</v>
      </c>
      <c r="D111" s="13">
        <v>0</v>
      </c>
      <c r="E111" s="6">
        <v>0.1</v>
      </c>
      <c r="F111" s="6">
        <v>0.08</v>
      </c>
      <c r="G111" s="6">
        <v>0.05</v>
      </c>
      <c r="Q111" s="2"/>
    </row>
    <row r="112" spans="1:17" ht="29.5">
      <c r="A112" s="2">
        <v>94</v>
      </c>
      <c r="B112" s="9" t="s">
        <v>782</v>
      </c>
      <c r="C112" s="9" t="s">
        <v>783</v>
      </c>
      <c r="D112" s="13">
        <v>0.3</v>
      </c>
      <c r="E112" s="13">
        <v>0.35</v>
      </c>
      <c r="F112" s="13">
        <v>0.35</v>
      </c>
      <c r="G112" s="13">
        <v>0.4</v>
      </c>
      <c r="Q112" s="2"/>
    </row>
    <row r="113" spans="1:17" ht="29.5">
      <c r="A113" s="2">
        <v>95</v>
      </c>
      <c r="B113" s="9" t="s">
        <v>969</v>
      </c>
      <c r="C113" s="9" t="s">
        <v>617</v>
      </c>
      <c r="D113" s="13">
        <v>0</v>
      </c>
      <c r="E113" s="6">
        <v>0.05</v>
      </c>
      <c r="F113" s="6">
        <v>0.04</v>
      </c>
      <c r="G113" s="6">
        <v>0.03</v>
      </c>
      <c r="Q113" s="2"/>
    </row>
    <row r="114" spans="1:17" ht="29.5">
      <c r="A114" s="2">
        <v>96</v>
      </c>
      <c r="B114" s="9" t="s">
        <v>784</v>
      </c>
      <c r="C114" s="9" t="s">
        <v>783</v>
      </c>
      <c r="D114" s="13">
        <v>0.2</v>
      </c>
      <c r="E114" s="6">
        <v>0.19</v>
      </c>
      <c r="F114" s="6">
        <v>0.21</v>
      </c>
      <c r="G114" s="6">
        <v>0.25</v>
      </c>
      <c r="Q114" s="2"/>
    </row>
    <row r="115" spans="1:17" ht="44.25">
      <c r="A115" s="2">
        <v>97</v>
      </c>
      <c r="B115" s="9" t="s">
        <v>788</v>
      </c>
      <c r="C115" s="9" t="s">
        <v>618</v>
      </c>
      <c r="D115" s="34">
        <v>0</v>
      </c>
      <c r="E115" s="17">
        <v>1.4999999999999999E-2</v>
      </c>
      <c r="F115" s="17">
        <v>0.01</v>
      </c>
      <c r="G115" s="17">
        <v>5.0000000000000001E-3</v>
      </c>
      <c r="Q115" s="2"/>
    </row>
    <row r="116" spans="1:17" ht="44.25">
      <c r="A116" s="2">
        <v>98</v>
      </c>
      <c r="B116" s="9" t="s">
        <v>970</v>
      </c>
      <c r="C116" s="9" t="s">
        <v>618</v>
      </c>
      <c r="D116" s="34">
        <v>0</v>
      </c>
      <c r="E116" s="17">
        <v>-5.0000000000000001E-3</v>
      </c>
      <c r="F116" s="17">
        <v>-7.0000000000000001E-3</v>
      </c>
      <c r="G116" s="17">
        <v>5.0000000000000001E-3</v>
      </c>
      <c r="Q116" s="2"/>
    </row>
    <row r="117" spans="1:17" ht="59">
      <c r="A117" s="2">
        <v>99</v>
      </c>
      <c r="B117" s="9" t="s">
        <v>875</v>
      </c>
      <c r="C117" s="9" t="s">
        <v>953</v>
      </c>
      <c r="D117" s="68">
        <f>(1+(D53+D116))*(1+D122)-1</f>
        <v>6.2000000000000055E-2</v>
      </c>
      <c r="E117" s="68">
        <f>(1+(E53+E116))*(1+E122)-1</f>
        <v>8.8710000000000067E-2</v>
      </c>
      <c r="F117" s="68">
        <f>(1+(F53+F116))*(1+F122)-1</f>
        <v>7.6100000000000056E-2</v>
      </c>
      <c r="G117" s="68">
        <f>(1+(G53+G116))*(1+G122)-1</f>
        <v>7.7669999999999906E-2</v>
      </c>
    </row>
    <row r="118" spans="1:17" ht="59">
      <c r="A118" s="32">
        <v>100</v>
      </c>
      <c r="B118" s="36" t="s">
        <v>790</v>
      </c>
      <c r="C118" s="36" t="s">
        <v>789</v>
      </c>
      <c r="D118" s="54">
        <f>D42*D40/(D40+D51+D63+D73+D84+D99+D101)+D53*D51/(D40+D51+D63+D73+D84+D99+D101)+D65*D63/(D40+D51+D63+D73+D84+D99+D101)+D76*D73/(D40+D51+D63+D73+D84+D99+D101)+D87*D84/(D40+D51+D63+D73+D84+D99+D101)+D102*D101/(D40+D51+D63+D73+D84+D99+D101)</f>
        <v>0.1</v>
      </c>
      <c r="E118" s="54">
        <f t="shared" ref="E118:G118" si="40">E42*E40/(E40+E51+E63+E73+E84+E99+E101)+E53*E51/(E40+E51+E63+E73+E84+E99+E101)+E65*E63/(E40+E51+E63+E73+E84+E99+E101)+E76*E73/(E40+E51+E63+E73+E84+E99+E101)+E87*E84/(E40+E51+E63+E73+E84+E99+E101)+E102*E101/(E40+E51+E63+E73+E84+E99+E101)</f>
        <v>9.2416034669555822E-2</v>
      </c>
      <c r="F118" s="54">
        <f t="shared" si="40"/>
        <v>9.5911026016443288E-2</v>
      </c>
      <c r="G118" s="54">
        <f t="shared" si="40"/>
        <v>9.4684428733428402E-2</v>
      </c>
    </row>
    <row r="119" spans="1:17" ht="29.5">
      <c r="A119" s="2">
        <v>101</v>
      </c>
      <c r="B119" s="9" t="s">
        <v>619</v>
      </c>
      <c r="C119" s="9" t="s">
        <v>620</v>
      </c>
      <c r="D119" s="13">
        <v>0</v>
      </c>
      <c r="E119" s="13">
        <v>1</v>
      </c>
      <c r="F119" s="13">
        <v>0.8</v>
      </c>
      <c r="G119" s="13">
        <v>0.5</v>
      </c>
      <c r="Q119" s="2"/>
    </row>
    <row r="120" spans="1:17" ht="73.75">
      <c r="A120" s="2">
        <v>102</v>
      </c>
      <c r="B120" s="9" t="s">
        <v>796</v>
      </c>
      <c r="C120" s="9" t="s">
        <v>832</v>
      </c>
      <c r="D120" s="54">
        <f>D51/(D40+D51+D63+D73+D84+D99+D101)</f>
        <v>0</v>
      </c>
      <c r="E120" s="54">
        <f>E51/(E40+E51+E63+E73+E84+E99+E101)</f>
        <v>0.27085590465872156</v>
      </c>
      <c r="F120" s="54">
        <f t="shared" ref="F120" si="41">F51/(F40+F51+F63+F73+F84+F99+F101)</f>
        <v>0.24631152156774411</v>
      </c>
      <c r="G120" s="54">
        <f>G51/(G40+G51+G63+G73+G84+G99+G101)</f>
        <v>0.21004114197138066</v>
      </c>
      <c r="Q120" s="2"/>
    </row>
    <row r="121" spans="1:17" ht="59">
      <c r="A121" s="32">
        <v>103</v>
      </c>
      <c r="B121" s="36" t="s">
        <v>791</v>
      </c>
      <c r="C121" s="36" t="s">
        <v>833</v>
      </c>
      <c r="D121" s="54">
        <v>0</v>
      </c>
      <c r="E121" s="54">
        <f>E51/(E40+E51)</f>
        <v>0.5</v>
      </c>
      <c r="F121" s="54">
        <f t="shared" ref="F121:G121" si="42">F51/(F40+F51)</f>
        <v>0.48740806775128148</v>
      </c>
      <c r="G121" s="54">
        <f t="shared" si="42"/>
        <v>0.46383402824648506</v>
      </c>
      <c r="I121" s="9"/>
      <c r="Q121" s="2"/>
    </row>
    <row r="122" spans="1:17" ht="29.5">
      <c r="A122" s="2">
        <v>104</v>
      </c>
      <c r="B122" s="9" t="s">
        <v>661</v>
      </c>
      <c r="C122" s="9" t="s">
        <v>609</v>
      </c>
      <c r="D122" s="13">
        <v>0</v>
      </c>
      <c r="E122" s="13">
        <v>0.03</v>
      </c>
      <c r="F122" s="13">
        <v>0.02</v>
      </c>
      <c r="G122" s="13">
        <v>0.01</v>
      </c>
      <c r="Q122" s="2"/>
    </row>
    <row r="123" spans="1:17" ht="29.5">
      <c r="A123" s="2">
        <v>105</v>
      </c>
      <c r="B123" s="9" t="s">
        <v>622</v>
      </c>
      <c r="C123" s="9" t="s">
        <v>623</v>
      </c>
      <c r="D123">
        <v>0</v>
      </c>
      <c r="E123">
        <v>3</v>
      </c>
      <c r="F123">
        <v>6</v>
      </c>
      <c r="G123">
        <v>3</v>
      </c>
    </row>
    <row r="124" spans="1:17">
      <c r="A124" s="2"/>
      <c r="B124" s="42" t="s">
        <v>621</v>
      </c>
      <c r="C124" s="33"/>
    </row>
    <row r="125" spans="1:17" ht="103.25">
      <c r="A125" s="2">
        <v>106</v>
      </c>
      <c r="B125" s="2" t="s">
        <v>624</v>
      </c>
      <c r="C125" s="2" t="s">
        <v>834</v>
      </c>
      <c r="D125" s="51">
        <f>D4</f>
        <v>700</v>
      </c>
      <c r="E125" s="51">
        <f>E4*(1-E111)*(1+E122*E112)</f>
        <v>782.12699999999995</v>
      </c>
      <c r="F125" s="51">
        <f>F4*(1-F111)*(1-E111)*(1+E122*E112)*(1+F122*F112)</f>
        <v>842.55085799999983</v>
      </c>
      <c r="G125" s="51">
        <f>G4*(1-G111)*(1-F111)*(1-E111)*(1+E122*E112)*(1+F122*F112)*(1+G122*G112)</f>
        <v>883.98750919643987</v>
      </c>
      <c r="I125" s="33"/>
    </row>
    <row r="126" spans="1:17" ht="132.75">
      <c r="A126" s="2">
        <v>107</v>
      </c>
      <c r="B126" s="2" t="s">
        <v>655</v>
      </c>
      <c r="C126" s="2" t="s">
        <v>835</v>
      </c>
      <c r="D126" s="51">
        <f>D5</f>
        <v>450</v>
      </c>
      <c r="E126" s="51">
        <f>E5*(1+E113)*((1-E114)+(1+E122)*E114)</f>
        <v>527.99250000000006</v>
      </c>
      <c r="F126" s="51">
        <f>F5*(1+F113)*(1+E113)*((1-E114)+(1+E122)*E114)*((1-F114)+(1+F122)*F114)</f>
        <v>595.53194893920011</v>
      </c>
      <c r="G126" s="51">
        <f>G5*(1+G113)*(1+F113)*(1+E113)*((1-E114)+(1+E122)*E114)*((1-F114)+(1+F122)*F114)*((1-G114)+(1+G122)*G114)</f>
        <v>660.481876411146</v>
      </c>
    </row>
    <row r="127" spans="1:17" ht="44.25">
      <c r="A127" s="2">
        <v>108</v>
      </c>
      <c r="B127" s="2" t="s">
        <v>625</v>
      </c>
      <c r="C127" s="32" t="s">
        <v>923</v>
      </c>
      <c r="D127" s="51">
        <f>D125-D126-D6</f>
        <v>200</v>
      </c>
      <c r="E127" s="51">
        <f t="shared" ref="E127:G127" si="43">E125-E126-E6</f>
        <v>204.13449999999989</v>
      </c>
      <c r="F127" s="51">
        <f t="shared" si="43"/>
        <v>197.01890906079973</v>
      </c>
      <c r="G127" s="51">
        <f t="shared" si="43"/>
        <v>173.50563278529387</v>
      </c>
    </row>
    <row r="128" spans="1:17" ht="147.5">
      <c r="A128" s="2">
        <v>109</v>
      </c>
      <c r="B128" s="2" t="s">
        <v>793</v>
      </c>
      <c r="C128" s="2" t="s">
        <v>836</v>
      </c>
      <c r="D128" s="69">
        <f>D42</f>
        <v>0.1</v>
      </c>
      <c r="E128" s="69">
        <f>(E42+E115)*(1-E121)+E117*E121</f>
        <v>0.10185500000000003</v>
      </c>
      <c r="F128" s="69">
        <f>(F42+F115)*(1-F121)+F117*F121</f>
        <v>9.3476866503231587E-2</v>
      </c>
      <c r="G128" s="69">
        <f>(G42+G115)*(1-G121)+G117*G121</f>
        <v>9.2323416008023532E-2</v>
      </c>
      <c r="H128" s="35"/>
    </row>
    <row r="129" spans="1:8" ht="44.25">
      <c r="A129" s="2">
        <v>110</v>
      </c>
      <c r="B129" s="2" t="s">
        <v>797</v>
      </c>
      <c r="C129" s="2" t="s">
        <v>794</v>
      </c>
      <c r="D129" s="69">
        <f>D128*(D40+D49)/(D40+D49+D63+D73+D84+D101)+D65*D63/(D40+D49+D63+D73+D84+D94+D101)+D76*D73/(D40+D49+D63+D73+D84+D101)+D87*D84/(D40+D49+D63+D73+D84+D101)+D102*D101/(D40+D49+D63+D73+D84+D101)</f>
        <v>0.1</v>
      </c>
      <c r="E129" s="69">
        <f>E128*(E40+E49)/(E40+E49+E63+E73+E84+E101)+E65*E63/(E40+E49+E63+E73+E84+E94+E101)+E76*E73/(E40+E49+E63+E73+E84+E101)+E87*E84/(E40+E49+E63+E73+E84+E101)+E102*E101/(E40+E49+E63+E73+E84+E101)</f>
        <v>0.10151391199864719</v>
      </c>
      <c r="F129" s="69">
        <f>F128*(F40+F49)/(F40+F49+F63+F73+F84+F101)+F65*F63/(F40+F49+F63+F73+F84+F94+F101)+F76*F73/(F40+F49+F63+F73+F84+F101)+F87*F84/(F40+F49+F63+F73+F84+F101)+F102*F101/(F40+F49+F63+F73+F84+F101)</f>
        <v>9.9616815003016251E-2</v>
      </c>
      <c r="G129" s="69">
        <f>G128*(G40+G49)/(G40+G49+G63+G73+G84+G101)+G65*G63/(G40+G49+G63+G73+G84+G94+G101)+G76*G73/(G40+G49+G63+G73+G84+G101)+G87*G84/(G40+G49+G63+G73+G84+G101)+G102*G101/(G40+G49+G63+G73+G84+G101)</f>
        <v>0.10030778225637522</v>
      </c>
      <c r="H129" s="35"/>
    </row>
    <row r="130" spans="1:8" ht="103.25">
      <c r="A130" s="32">
        <v>111</v>
      </c>
      <c r="B130" s="32" t="s">
        <v>656</v>
      </c>
      <c r="C130" s="32" t="s">
        <v>946</v>
      </c>
      <c r="D130" s="64">
        <f>D40</f>
        <v>0</v>
      </c>
      <c r="E130" s="64">
        <f>E40+E63+E73+E84++E101+E51*(1+E122)</f>
        <v>1136.5999999999999</v>
      </c>
      <c r="F130" s="64">
        <f t="shared" ref="F130:G130" si="44">F40+F63+F73+F84++F101+F51*(1+F122)</f>
        <v>922.27400000000011</v>
      </c>
      <c r="G130" s="64">
        <f t="shared" si="44"/>
        <v>631.48299400000008</v>
      </c>
    </row>
    <row r="131" spans="1:8" ht="29.5">
      <c r="A131" s="2">
        <v>112</v>
      </c>
      <c r="B131" s="2" t="s">
        <v>626</v>
      </c>
      <c r="C131" s="2" t="s">
        <v>945</v>
      </c>
      <c r="D131" s="64">
        <f>D43*(1+D115)</f>
        <v>0</v>
      </c>
      <c r="E131" s="67">
        <f>E130*E129</f>
        <v>115.38071237766239</v>
      </c>
      <c r="F131" s="67">
        <f t="shared" ref="F131:G131" si="45">F130*F129</f>
        <v>91.873998440091825</v>
      </c>
      <c r="G131" s="67">
        <f t="shared" si="45"/>
        <v>63.342658660755909</v>
      </c>
    </row>
    <row r="132" spans="1:8" ht="59">
      <c r="A132" s="2">
        <v>113</v>
      </c>
      <c r="B132" s="2" t="s">
        <v>654</v>
      </c>
      <c r="C132" s="2" t="s">
        <v>837</v>
      </c>
      <c r="D132" s="70">
        <f>D15</f>
        <v>700</v>
      </c>
      <c r="E132" s="52">
        <f>E15 * (1 - E123 / 12)</f>
        <v>60</v>
      </c>
      <c r="F132" s="52">
        <f>F15 * (1 - F123 / 12) + E15 * (E123 / 12) * (1 - F123 / 12)</f>
        <v>40</v>
      </c>
      <c r="G132" s="52">
        <f>G15 * (1 - G123 / 12) + E15 * (E123 / 12) * (F123 / 12) + F15 * (F123 / 12)</f>
        <v>40</v>
      </c>
    </row>
    <row r="133" spans="1:8" ht="59">
      <c r="A133" s="2">
        <v>114</v>
      </c>
      <c r="B133" s="2" t="s">
        <v>627</v>
      </c>
      <c r="C133" s="2" t="s">
        <v>944</v>
      </c>
      <c r="D133" s="70">
        <f>D17</f>
        <v>-590</v>
      </c>
      <c r="E133" s="70">
        <f>E127-E12*E127-E132+E16</f>
        <v>133.30759999999992</v>
      </c>
      <c r="F133" s="70">
        <f>F127-F12*F127-F132+F16</f>
        <v>137.61512724863979</v>
      </c>
      <c r="G133" s="70">
        <f>G127-G12*G127-G132+G16</f>
        <v>88.804506228235084</v>
      </c>
    </row>
    <row r="134" spans="1:8" ht="29.5">
      <c r="A134" s="2">
        <v>115</v>
      </c>
      <c r="B134" s="26" t="s">
        <v>629</v>
      </c>
      <c r="C134" s="2" t="s">
        <v>947</v>
      </c>
      <c r="D134" s="56">
        <f>D131+D130</f>
        <v>0</v>
      </c>
      <c r="E134" s="56">
        <f>E131+E130</f>
        <v>1251.9807123776623</v>
      </c>
      <c r="F134" s="56">
        <f t="shared" ref="F134:G134" si="46">F131+F130</f>
        <v>1014.1479984400919</v>
      </c>
      <c r="G134" s="56">
        <f t="shared" si="46"/>
        <v>694.82565266075596</v>
      </c>
    </row>
    <row r="135" spans="1:8" ht="73.75">
      <c r="A135" s="32">
        <v>116</v>
      </c>
      <c r="B135" s="32" t="s">
        <v>631</v>
      </c>
      <c r="C135" s="36" t="s">
        <v>838</v>
      </c>
      <c r="D135" s="56">
        <f>D127-(D127-D131-D6)*(1-D12)</f>
        <v>80</v>
      </c>
      <c r="E135" s="56">
        <f>E127-(E127-E131-E6)*(1-E12)</f>
        <v>173.13146990212988</v>
      </c>
      <c r="F135" s="56">
        <f>F127-(F127-F131-F6)*(1-F12)</f>
        <v>152.90298056423342</v>
      </c>
      <c r="G135" s="56">
        <f>G127-(G127-G131-G6)*(1-G12)</f>
        <v>125.37525348566351</v>
      </c>
    </row>
    <row r="136" spans="1:8" ht="29.5">
      <c r="A136" s="2">
        <v>117</v>
      </c>
      <c r="B136" s="2" t="s">
        <v>653</v>
      </c>
      <c r="C136" s="2" t="s">
        <v>948</v>
      </c>
      <c r="D136" s="56">
        <f>D24+D132</f>
        <v>2250</v>
      </c>
      <c r="E136" s="56">
        <f>E24+E132</f>
        <v>1570</v>
      </c>
      <c r="F136" s="56">
        <f>F24+F132</f>
        <v>1510</v>
      </c>
      <c r="G136" s="56">
        <f>G24+G132</f>
        <v>1470</v>
      </c>
    </row>
    <row r="137" spans="1:8" ht="88.5">
      <c r="A137" s="2">
        <v>118</v>
      </c>
      <c r="B137" s="2" t="s">
        <v>792</v>
      </c>
      <c r="C137" s="2"/>
      <c r="D137" s="20">
        <v>0.5</v>
      </c>
      <c r="E137" s="20">
        <v>0.4</v>
      </c>
      <c r="F137" s="20">
        <v>0.4</v>
      </c>
      <c r="G137" s="20">
        <v>0.3</v>
      </c>
    </row>
    <row r="138" spans="1:8" ht="103.25">
      <c r="A138" s="2">
        <v>119</v>
      </c>
      <c r="B138" s="2" t="s">
        <v>971</v>
      </c>
      <c r="C138" s="2" t="s">
        <v>954</v>
      </c>
      <c r="D138" s="56">
        <f>D22*D137*(1+D122)+D22*(1-D137)</f>
        <v>430</v>
      </c>
      <c r="E138" s="56">
        <f t="shared" ref="E138:G138" si="47">E22*E137*(1+E122)+E22*(1-E137)</f>
        <v>445.28</v>
      </c>
      <c r="F138" s="56">
        <f t="shared" si="47"/>
        <v>453.6</v>
      </c>
      <c r="G138" s="56">
        <f t="shared" si="47"/>
        <v>461.38</v>
      </c>
    </row>
    <row r="139" spans="1:8" ht="44.25">
      <c r="A139" s="2">
        <v>120</v>
      </c>
      <c r="B139" s="2" t="s">
        <v>972</v>
      </c>
      <c r="C139" s="32" t="s">
        <v>955</v>
      </c>
      <c r="D139" s="56">
        <f>D136+D138</f>
        <v>2680</v>
      </c>
      <c r="E139" s="56">
        <f>E136+E138</f>
        <v>2015.28</v>
      </c>
      <c r="F139" s="56">
        <f t="shared" ref="F139:G139" si="48">F136+F138</f>
        <v>1963.6</v>
      </c>
      <c r="G139" s="56">
        <f t="shared" si="48"/>
        <v>1931.38</v>
      </c>
    </row>
    <row r="140" spans="1:8" s="38" customFormat="1" ht="118">
      <c r="A140" s="32">
        <v>121</v>
      </c>
      <c r="B140" s="32" t="s">
        <v>973</v>
      </c>
      <c r="C140" s="32" t="s">
        <v>839</v>
      </c>
      <c r="D140" s="51">
        <f>D25</f>
        <v>887</v>
      </c>
      <c r="E140" s="51">
        <f>E25*(1-E120)+E25*E120*(1+E122)+(E129-E118)*E25</f>
        <v>892.10505726918404</v>
      </c>
      <c r="F140" s="51">
        <f t="shared" ref="F140:G140" si="49">F25*(1-F120)+F25*F120*(1+F122)+(F129-F118)*F25</f>
        <v>874.48396083534351</v>
      </c>
      <c r="G140" s="51">
        <f t="shared" si="49"/>
        <v>863.61926655586001</v>
      </c>
    </row>
    <row r="141" spans="1:8" s="38" customFormat="1" ht="59">
      <c r="A141" s="32">
        <v>122</v>
      </c>
      <c r="B141" s="32" t="s">
        <v>974</v>
      </c>
      <c r="C141" s="32" t="s">
        <v>956</v>
      </c>
      <c r="D141" s="56"/>
      <c r="E141" s="56">
        <f>E133/(E134)</f>
        <v>0.10647735918138286</v>
      </c>
      <c r="F141" s="56">
        <f t="shared" ref="F141:G141" si="50">F133/(F134)</f>
        <v>0.13569531021144055</v>
      </c>
      <c r="G141" s="56">
        <f t="shared" si="50"/>
        <v>0.1278083298855883</v>
      </c>
    </row>
    <row r="142" spans="1:8" s="38" customFormat="1" ht="44.25">
      <c r="A142" s="32">
        <v>123</v>
      </c>
      <c r="B142" s="32" t="s">
        <v>657</v>
      </c>
      <c r="C142" s="32" t="s">
        <v>950</v>
      </c>
      <c r="D142" s="64">
        <f>D108</f>
        <v>0</v>
      </c>
      <c r="E142" s="51">
        <f>E127/E131</f>
        <v>1.769225512595467</v>
      </c>
      <c r="F142" s="51">
        <f t="shared" ref="F142:G142" si="51">F127/F131</f>
        <v>2.1444468773095755</v>
      </c>
      <c r="G142" s="51">
        <f t="shared" si="51"/>
        <v>2.7391593035988193</v>
      </c>
    </row>
    <row r="143" spans="1:8" s="38" customFormat="1" ht="44.25">
      <c r="A143" s="32">
        <v>124</v>
      </c>
      <c r="B143" s="32" t="s">
        <v>810</v>
      </c>
      <c r="C143" s="32" t="s">
        <v>949</v>
      </c>
      <c r="D143" s="67">
        <f>D109</f>
        <v>0</v>
      </c>
      <c r="E143" s="51">
        <f>E138/E23</f>
        <v>1.4363870967741934</v>
      </c>
      <c r="F143" s="51">
        <f t="shared" ref="F143:G143" si="52">F138/F23</f>
        <v>1.4175</v>
      </c>
      <c r="G143" s="51">
        <f t="shared" si="52"/>
        <v>1.3981212121212121</v>
      </c>
    </row>
    <row r="144" spans="1:8" s="38" customFormat="1" ht="73.75">
      <c r="A144" s="32">
        <v>125</v>
      </c>
      <c r="B144" s="32" t="s">
        <v>813</v>
      </c>
      <c r="C144" s="32" t="s">
        <v>840</v>
      </c>
      <c r="D144" s="51">
        <f>(D26+D140-D136)/D138</f>
        <v>0.43488372093023253</v>
      </c>
      <c r="E144" s="51">
        <f t="shared" ref="E144:G144" si="53">(E26+E140-E136)/E138</f>
        <v>1.8687231792786199</v>
      </c>
      <c r="F144" s="51">
        <f t="shared" si="53"/>
        <v>1.8396912716828562</v>
      </c>
      <c r="G144" s="51">
        <f t="shared" si="53"/>
        <v>1.7851213025182282</v>
      </c>
      <c r="H144" s="37"/>
    </row>
    <row r="145" spans="1:10" s="38" customFormat="1" ht="59">
      <c r="A145" s="32">
        <v>126</v>
      </c>
      <c r="B145" s="32" t="s">
        <v>811</v>
      </c>
      <c r="C145" s="32" t="s">
        <v>841</v>
      </c>
      <c r="D145" s="56">
        <f>(D140+D23)/D139</f>
        <v>0.44291044776119404</v>
      </c>
      <c r="E145" s="56">
        <f t="shared" ref="E145:G145" si="54">(E140+E23)/E139</f>
        <v>0.5964953045081498</v>
      </c>
      <c r="F145" s="56">
        <f t="shared" si="54"/>
        <v>0.60831328215285374</v>
      </c>
      <c r="G145" s="56">
        <f t="shared" si="54"/>
        <v>0.61801368273248147</v>
      </c>
    </row>
    <row r="146" spans="1:10" s="38" customFormat="1" ht="29.5">
      <c r="A146" s="32">
        <v>127</v>
      </c>
      <c r="B146" s="32" t="s">
        <v>814</v>
      </c>
      <c r="C146" s="32" t="s">
        <v>842</v>
      </c>
      <c r="D146" s="56">
        <f>D135/D139</f>
        <v>2.9850746268656716E-2</v>
      </c>
      <c r="E146" s="62">
        <f t="shared" ref="E146:G146" si="55">E135/E139</f>
        <v>8.5909387232607812E-2</v>
      </c>
      <c r="F146" s="62">
        <f t="shared" si="55"/>
        <v>7.7868700633649132E-2</v>
      </c>
      <c r="G146" s="62">
        <f t="shared" si="55"/>
        <v>6.4914855432728666E-2</v>
      </c>
    </row>
    <row r="147" spans="1:10" s="38" customFormat="1" ht="29.5">
      <c r="A147" s="32">
        <v>128</v>
      </c>
      <c r="B147" s="32" t="s">
        <v>815</v>
      </c>
      <c r="C147" s="32" t="s">
        <v>843</v>
      </c>
      <c r="D147" s="56">
        <f>D135/D26</f>
        <v>5.1612903225806452E-2</v>
      </c>
      <c r="E147" s="62">
        <f t="shared" ref="E147:G147" si="56">E135/E26</f>
        <v>0.11465660258419197</v>
      </c>
      <c r="F147" s="62">
        <f t="shared" si="56"/>
        <v>0.10401563303689348</v>
      </c>
      <c r="G147" s="62">
        <f t="shared" si="56"/>
        <v>8.7675002437526933E-2</v>
      </c>
    </row>
    <row r="148" spans="1:10" s="38" customFormat="1" ht="29.5">
      <c r="A148" s="32">
        <v>129</v>
      </c>
      <c r="B148" s="32" t="s">
        <v>812</v>
      </c>
      <c r="C148" s="32" t="s">
        <v>844</v>
      </c>
      <c r="D148" s="56">
        <f>D26/D139</f>
        <v>0.57835820895522383</v>
      </c>
      <c r="E148" s="56">
        <f t="shared" ref="E148:G148" si="57">E26/E139</f>
        <v>0.74927553491326271</v>
      </c>
      <c r="F148" s="56">
        <f t="shared" si="57"/>
        <v>0.74862497453656551</v>
      </c>
      <c r="G148" s="56">
        <f t="shared" si="57"/>
        <v>0.74040323499259597</v>
      </c>
    </row>
    <row r="149" spans="1:10" s="38" customFormat="1" ht="44.25">
      <c r="A149" s="32">
        <v>130</v>
      </c>
      <c r="B149" s="32" t="s">
        <v>977</v>
      </c>
      <c r="C149" s="32" t="s">
        <v>795</v>
      </c>
      <c r="D149" s="64"/>
      <c r="E149" s="51">
        <f>E134/(E134+F134+G134)</f>
        <v>0.42283012795470559</v>
      </c>
      <c r="F149" s="51">
        <f>F134/(E134+F134+G134)</f>
        <v>0.34250713585760145</v>
      </c>
      <c r="G149" s="51">
        <f>G134/(E134+F134+G134)</f>
        <v>0.23466273618769298</v>
      </c>
    </row>
    <row r="150" spans="1:10" s="38" customFormat="1" ht="29.5">
      <c r="A150" s="32">
        <v>131</v>
      </c>
      <c r="B150" s="32" t="s">
        <v>798</v>
      </c>
      <c r="C150" s="32" t="s">
        <v>799</v>
      </c>
      <c r="D150" s="64"/>
      <c r="E150" s="69">
        <f>E129*E149+F129*F149+G129*G149</f>
        <v>0.10058110903471068</v>
      </c>
      <c r="F150" s="51"/>
      <c r="G150" s="51"/>
      <c r="I150" s="39"/>
      <c r="J150" s="32"/>
    </row>
    <row r="151" spans="1:10" s="38" customFormat="1">
      <c r="A151" s="32">
        <v>132</v>
      </c>
      <c r="B151" s="80" t="s">
        <v>976</v>
      </c>
      <c r="D151" s="71">
        <f>NPV(E150,E133:G133) +D133</f>
        <v>-288.64930911542803</v>
      </c>
      <c r="E151" s="52"/>
      <c r="F151" s="52"/>
      <c r="G151" s="52"/>
      <c r="I151" s="39"/>
      <c r="J151" s="32"/>
    </row>
    <row r="152" spans="1:10" s="38" customFormat="1" ht="29.5">
      <c r="A152" s="32">
        <v>133</v>
      </c>
      <c r="B152" s="32" t="s">
        <v>975</v>
      </c>
      <c r="C152" s="32" t="s">
        <v>577</v>
      </c>
      <c r="D152" s="67">
        <f>(D151-D18)/D18</f>
        <v>-2.6700656894620831</v>
      </c>
      <c r="E152" s="64"/>
      <c r="F152" s="64"/>
      <c r="G152" s="64"/>
    </row>
    <row r="153" spans="1:10" s="38" customFormat="1" ht="44.25">
      <c r="A153" s="32">
        <v>134</v>
      </c>
      <c r="B153" s="36" t="s">
        <v>639</v>
      </c>
      <c r="C153" s="36" t="s">
        <v>638</v>
      </c>
      <c r="D153" s="68">
        <f>IRR(D133:G133)</f>
        <v>-0.22376688611635764</v>
      </c>
      <c r="E153" s="52"/>
      <c r="F153" s="52"/>
      <c r="G153" s="52"/>
    </row>
    <row r="154" spans="1:10">
      <c r="C154" s="11"/>
    </row>
  </sheetData>
  <phoneticPr fontId="2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C121-1BAF-442F-B638-53C78AD2D3D6}">
  <dimension ref="A2:Q22"/>
  <sheetViews>
    <sheetView topLeftCell="A4" zoomScale="90" zoomScaleNormal="90" workbookViewId="0">
      <selection activeCell="C7" sqref="C7"/>
    </sheetView>
  </sheetViews>
  <sheetFormatPr defaultRowHeight="14.75"/>
  <cols>
    <col min="1" max="1" width="26.31640625" customWidth="1"/>
    <col min="2" max="2" width="31.86328125" customWidth="1"/>
    <col min="3" max="4" width="19.453125" customWidth="1"/>
    <col min="5" max="6" width="23.2265625" customWidth="1"/>
    <col min="7" max="7" width="11.08984375" customWidth="1"/>
    <col min="8" max="8" width="15.2265625" customWidth="1"/>
    <col min="9" max="9" width="10.6796875" customWidth="1"/>
    <col min="10" max="10" width="11.54296875" customWidth="1"/>
    <col min="11" max="11" width="26.76953125" customWidth="1"/>
    <col min="12" max="12" width="32.2265625" customWidth="1"/>
    <col min="14" max="14" width="13.86328125" customWidth="1"/>
    <col min="15" max="15" width="13.54296875" customWidth="1"/>
    <col min="16" max="16" width="11" customWidth="1"/>
    <col min="17" max="17" width="17.76953125" customWidth="1"/>
  </cols>
  <sheetData>
    <row r="2" spans="1:17">
      <c r="B2" s="8" t="s">
        <v>636</v>
      </c>
      <c r="C2" s="8"/>
      <c r="D2" s="8"/>
      <c r="G2" s="31"/>
      <c r="H2" s="31"/>
    </row>
    <row r="3" spans="1:17" ht="57" customHeight="1">
      <c r="A3" s="47" t="s">
        <v>2</v>
      </c>
      <c r="B3" s="58" t="s">
        <v>14</v>
      </c>
      <c r="G3" s="22"/>
      <c r="H3" s="22"/>
      <c r="J3" s="1"/>
      <c r="K3" s="1"/>
      <c r="M3" s="1"/>
    </row>
    <row r="4" spans="1:17" ht="57" customHeight="1">
      <c r="A4" s="49" t="str">
        <f>"Итоговая оценка проекта"</f>
        <v>Итоговая оценка проекта</v>
      </c>
      <c r="B4" s="38"/>
      <c r="G4" s="22"/>
      <c r="H4" s="22"/>
      <c r="J4" s="1"/>
      <c r="K4" s="1"/>
      <c r="M4" s="1"/>
    </row>
    <row r="5" spans="1:17" ht="42.65" customHeight="1">
      <c r="A5" s="78"/>
      <c r="B5" s="81" t="s">
        <v>869</v>
      </c>
      <c r="C5" s="81" t="s">
        <v>868</v>
      </c>
      <c r="D5" s="82"/>
      <c r="E5" s="81" t="s">
        <v>870</v>
      </c>
      <c r="F5" s="81"/>
    </row>
    <row r="6" spans="1:17" ht="76.900000000000006" customHeight="1">
      <c r="A6" s="78" t="s">
        <v>858</v>
      </c>
      <c r="B6" s="78" t="str">
        <f>IF(COUNTIF(G11:G15,"Да*")=ROW(G11:G15),"Финансовая устойчивость: соответствует",
 IF(COUNTIF(G11:G15,"Да*")&gt;=3,"Финансовая устойчивость: частично соответствует",
 "Финансовая устойчивость: не соответствует"))</f>
        <v>Финансовая устойчивость: частично соответствует</v>
      </c>
      <c r="C6" s="78" t="str">
        <f>IF(COUNTIF(I11:I15,"Да*")=5,"Финансовая устойчивость (стресс): соответствует",
 IF(COUNTIF(I11:I15,"Да*")&gt;=3,"Финансовая устойчивость (стресс): частично соответствует",
 "Финансовая устойчивость (стресс): не соответствует"))</f>
        <v>Финансовая устойчивость (стресс): частично соответствует</v>
      </c>
      <c r="D6" s="83"/>
      <c r="E6" s="1"/>
      <c r="F6" s="1"/>
      <c r="G6" s="1"/>
      <c r="H6" s="1"/>
      <c r="I6" s="1"/>
      <c r="J6" s="1"/>
      <c r="K6" s="1"/>
      <c r="L6" s="43"/>
    </row>
    <row r="7" spans="1:17" ht="75.650000000000006" customHeight="1">
      <c r="A7" s="78" t="s">
        <v>859</v>
      </c>
      <c r="B7" s="78" t="str">
        <f>IF(COUNTIF(G17:G21,"Да*")=5,"Эффективность проекта: соответствует",
 IF(COUNTIF(G17:G21,"Да*")&gt;=3,"Эффективность проекта: частично соответствует",
 "Эффективность проекта: не соответствует"))</f>
        <v>Эффективность проекта: не соответствует</v>
      </c>
      <c r="C7" s="78" t="str">
        <f>IF(COUNTIF(I17:I22,"Да*")=6,"Эффективность проекта (стресс): соответствует",
 IF(COUNTIF(I17:I22,"Да*")&gt;=3,"Эффективность проекта (стресс): частично соответствует",
 "Эффективность проекта (стресс): не соответствует"))</f>
        <v>Эффективность проекта (стресс): не соответствует</v>
      </c>
      <c r="D7" s="1"/>
      <c r="E7" s="1"/>
      <c r="F7" s="1"/>
      <c r="G7" s="1"/>
      <c r="H7" s="1"/>
      <c r="I7" s="1"/>
      <c r="J7" s="1"/>
      <c r="K7" s="1"/>
      <c r="L7" s="43"/>
    </row>
    <row r="8" spans="1:17" ht="105.65" customHeight="1">
      <c r="A8" s="78" t="s">
        <v>860</v>
      </c>
      <c r="B8" s="78" t="str">
        <f>IF(
  AND(B6="соответствует",B7="соответствует"),
  "Базовый вариант: соответствует",
  IF(
    OR(B6="не соответствует",B7="не соответствует"),
    "Базовый вариант: не соответствует",
    "Базовый вариант: частично соответствует"
  )
)</f>
        <v>Базовый вариант: частично соответствует</v>
      </c>
      <c r="C8" s="78" t="str">
        <f>IF(
    OR(ISNUMBER(SEARCH("не соответствует",C6)),ISNUMBER(SEARCH("не соответствует",C7))),
    "Стресс-сценарий: не соответствует",
    IF(
        AND(ISNUMBER(SEARCH("соответствует",C6)),ISNUMBER(SEARCH("соответствует",C7))),
        "Стресс-сценарий: соответствует",
        "Стресс-сценарий: частично соответствует"
    )
)</f>
        <v>Стресс-сценарий: не соответствует</v>
      </c>
      <c r="D8" s="1"/>
      <c r="E8" s="78" t="str">
        <f>IF(
  C8="Стресс-сценарий: не соответствует",
  "❌ Проект не соответствует ряду нормативов и требует доработки",
  IF(
    AND(B8="Базовый вариант: соответствует",C8="Стресс-сценарий: соответствует"),
    "✅ Проект соответствует нормативам в базовом и стресс‑сценарии",
    "⚠️ Проект частично соответствует (требует доработки)"
  )
)</f>
        <v>❌ Проект не соответствует ряду нормативов и требует доработки</v>
      </c>
      <c r="F8" s="78"/>
      <c r="G8" s="1"/>
      <c r="H8" s="1"/>
      <c r="I8" s="1"/>
      <c r="J8" s="1"/>
      <c r="K8" s="1"/>
      <c r="L8" s="43"/>
    </row>
    <row r="9" spans="1:17" ht="23.5">
      <c r="A9" s="48" t="s">
        <v>861</v>
      </c>
      <c r="B9" s="1"/>
      <c r="C9" s="1"/>
      <c r="D9" s="1"/>
      <c r="E9" s="1"/>
      <c r="F9" s="1"/>
      <c r="G9" s="1"/>
      <c r="H9" s="1"/>
      <c r="I9" s="1"/>
      <c r="J9" s="1"/>
      <c r="K9" s="1"/>
      <c r="L9" s="43"/>
    </row>
    <row r="10" spans="1:17" ht="88.5">
      <c r="A10" s="1" t="s">
        <v>579</v>
      </c>
      <c r="B10" s="1" t="s">
        <v>1</v>
      </c>
      <c r="C10" s="1" t="s">
        <v>807</v>
      </c>
      <c r="D10" s="1" t="s">
        <v>808</v>
      </c>
      <c r="E10" s="1" t="s">
        <v>632</v>
      </c>
      <c r="F10" s="1" t="s">
        <v>925</v>
      </c>
      <c r="G10" s="1" t="s">
        <v>819</v>
      </c>
      <c r="H10" s="1" t="s">
        <v>817</v>
      </c>
      <c r="I10" s="1" t="s">
        <v>820</v>
      </c>
      <c r="J10" s="1" t="s">
        <v>818</v>
      </c>
      <c r="K10" s="1" t="s">
        <v>828</v>
      </c>
      <c r="L10" s="43" t="s">
        <v>827</v>
      </c>
      <c r="M10" s="1"/>
    </row>
    <row r="11" spans="1:17" ht="73.75">
      <c r="A11" s="92" t="s">
        <v>643</v>
      </c>
      <c r="B11" s="93" t="s">
        <v>900</v>
      </c>
      <c r="C11" s="72">
        <f>AVERAGE('3.Исх проект данные и риски  '!E108:G108)</f>
        <v>1.0406887857285771</v>
      </c>
      <c r="D11" s="72">
        <f>AVERAGE('3.Исх проект данные и риски  '!E141:G141)</f>
        <v>0.12332699975947055</v>
      </c>
      <c r="E11" s="72">
        <v>1.3</v>
      </c>
      <c r="F11" s="72" t="s">
        <v>926</v>
      </c>
      <c r="G11" s="72" t="str">
        <f>IF(C11="","",IF(C11&gt;=E11,"Да",IF(C11&gt;=E11*0.9,"Пограничное","Нет")))</f>
        <v>Нет</v>
      </c>
      <c r="H11" s="72">
        <f t="shared" ref="H11:H19" si="0">IF(G11="Да",1,IF(G11="Пограничное",0.5,IF(G11="Нет",0,"")))</f>
        <v>0</v>
      </c>
      <c r="I11" s="72" t="str">
        <f>IF(D11="","",IF(D11&gt;=E11,"Да",IF(D11&gt;=E11*0.9,"Пограничное","Нет")))</f>
        <v>Нет</v>
      </c>
      <c r="J11" s="72">
        <f t="shared" ref="J11:J19" si="1">IF(I11="Да",1,IF(I11="Пограничное",0.5,IF(I11="Нет",0,"")))</f>
        <v>0</v>
      </c>
      <c r="K11" s="63" t="str">
        <f>IF(G11="Да","Показатель соответствует нормативу",
 IF(G11="Пограничное","Показатель близок к нормативу",
 IF(G11="Нет","Показатель ниже нормативного уровня","")))</f>
        <v>Показатель ниже нормативного уровня</v>
      </c>
      <c r="L11" s="63" t="str">
        <f>IF(I11="Да","Устойчивость сохранена",
 IF(I11="Пограничное","Показатель на грани устойчивости",
 IF(I11="Нет","Показатель просел ниже нормы","")))</f>
        <v>Показатель просел ниже нормы</v>
      </c>
      <c r="Q11" s="2"/>
    </row>
    <row r="12" spans="1:17" ht="44.25">
      <c r="A12" s="92" t="s">
        <v>826</v>
      </c>
      <c r="B12" s="93" t="s">
        <v>904</v>
      </c>
      <c r="C12" s="72">
        <f>AVERAGE('3.Исх проект данные и риски  '!E109:G109)</f>
        <v>7.7173643239148104</v>
      </c>
      <c r="D12" s="72">
        <f>AVERAGE('3.Исх проект данные и риски  '!E142:G142)</f>
        <v>2.2176105645012871</v>
      </c>
      <c r="E12" s="72">
        <v>2</v>
      </c>
      <c r="F12" s="72"/>
      <c r="G12" s="72" t="str">
        <f>IF(C12="","",IF(C12&gt;=E12,"Да",IF(C12&gt;=E12*0.9,"Пограничное","Нет")))</f>
        <v>Да</v>
      </c>
      <c r="H12" s="72">
        <f t="shared" si="0"/>
        <v>1</v>
      </c>
      <c r="I12" s="72" t="str">
        <f>IF(D12="","",IF(D12&gt;=E12,"Да",IF(D12&gt;=E12*0.9,"Пограничное","Нет")))</f>
        <v>Да</v>
      </c>
      <c r="J12" s="72">
        <f t="shared" si="1"/>
        <v>1</v>
      </c>
      <c r="K12" s="63" t="str">
        <f>IF(G12="Да","Показатель соответствует нормативу",
 IF(G12="Пограничное","Показатель близок к нормативу",
 IF(G12="Нет","Показатель ниже нормативного уровня","")))</f>
        <v>Показатель соответствует нормативу</v>
      </c>
      <c r="L12" s="63" t="str">
        <f>IF(I12="Да","Устойчивость сохранена",
 IF(I12="Пограничное","Показатель на грани устойчивости",
 IF(I12="Нет","Показатель просел ниже нормы","")))</f>
        <v>Устойчивость сохранена</v>
      </c>
      <c r="N12" s="2"/>
      <c r="P12" s="2"/>
      <c r="Q12" s="2"/>
    </row>
    <row r="13" spans="1:17" ht="44.25">
      <c r="A13" s="4" t="s">
        <v>573</v>
      </c>
      <c r="B13" s="2" t="s">
        <v>809</v>
      </c>
      <c r="C13" s="72">
        <f>AVERAGE('3.Исх проект данные и риски  '!E31:G31)</f>
        <v>1.4065147442163572</v>
      </c>
      <c r="D13" s="72">
        <f>AVERAGE('3.Исх проект данные и риски  '!E143:G143)</f>
        <v>1.417336102965135</v>
      </c>
      <c r="E13" s="72">
        <f>VLOOKUP($B$3,'5.Отрасл нормативы и WACC '!$C$2:$I$175,2,FALSE)</f>
        <v>1.5</v>
      </c>
      <c r="F13" s="72" t="s">
        <v>932</v>
      </c>
      <c r="G13" s="72" t="str">
        <f>IF(C13="","",IF(C13&gt;=E13,"Да",IF(C13&gt;=E13*0.9,"Пограничное","Нет")))</f>
        <v>Пограничное</v>
      </c>
      <c r="H13" s="72">
        <f t="shared" si="0"/>
        <v>0.5</v>
      </c>
      <c r="I13" s="72" t="str">
        <f>IF(D13="","",IF(D13&gt;=E13,"Да",IF(D13&gt;=E13*0.9,"Пограничное","Нет")))</f>
        <v>Пограничное</v>
      </c>
      <c r="J13" s="72">
        <f t="shared" si="1"/>
        <v>0.5</v>
      </c>
      <c r="K13" s="63" t="str">
        <f>IF(G13="Да","Ликвидность соответствует нормативу",
 IF(G13="Пограничное","Ликвидность близка к нормативу",
 IF(G13="Нет","Ликвидность ниже нормативного уровня","")))</f>
        <v>Ликвидность близка к нормативу</v>
      </c>
      <c r="L13" s="63" t="str">
        <f>IF(I13="Да","Устойчивость сохранена",
 IF(I13="Пограничное","Ликвидность на грани устойчивости",
 IF(I13="Нет","Ликвидность просела ниже нормы","")))</f>
        <v>Ликвидность на грани устойчивости</v>
      </c>
      <c r="Q13" s="2"/>
    </row>
    <row r="14" spans="1:17" ht="68.400000000000006" customHeight="1">
      <c r="A14" s="4" t="s">
        <v>9</v>
      </c>
      <c r="B14" s="2" t="s">
        <v>648</v>
      </c>
      <c r="C14" s="72">
        <f>AVERAGE('3.Исх проект данные и риски  '!E33:G33)</f>
        <v>1.9276306543697848</v>
      </c>
      <c r="D14" s="72">
        <f>AVERAGE('3.Исх проект данные и риски  '!E144:G144)</f>
        <v>1.8311785844932347</v>
      </c>
      <c r="E14" s="72">
        <f>VLOOKUP($B$3,'5.Отрасл нормативы и WACC '!$C$2:$I$175,3,FALSE)</f>
        <v>0.2</v>
      </c>
      <c r="F14" s="72" t="s">
        <v>932</v>
      </c>
      <c r="G14" s="72" t="str">
        <f>IF(C14="","",IF(C14&gt;=E14,"Да",IF(C14&gt;=E14*0.9,"Пограничное","Нет")))</f>
        <v>Да</v>
      </c>
      <c r="H14" s="72">
        <f t="shared" si="0"/>
        <v>1</v>
      </c>
      <c r="I14" s="72" t="str">
        <f>IF(D14="","",IF(D14&gt;=E14,"Да",IF(D14&gt;=E14*0.9,"Пограничное","Нет")))</f>
        <v>Да</v>
      </c>
      <c r="J14" s="72">
        <f t="shared" si="1"/>
        <v>1</v>
      </c>
      <c r="K14" s="63" t="str">
        <f>IF(G14="Да","Обеспеченность собственными оборотными средствами соответствует нормативу",
 IF(G14="Пограничное","Обеспеченность собственными оборотными средствами близка к нормативу",
 IF(G14="Нет","Обеспеченность собственными оборотными средствами ниже нормативного уровня","")))</f>
        <v>Обеспеченность собственными оборотными средствами соответствует нормативу</v>
      </c>
      <c r="L14" s="63" t="str">
        <f>IF(I14="Да","Обеспеченность собственными оборотными средствами сохраняется в стрессовом сценарии",
 IF(I14="Пограничное","Обеспеченность собственными оборотными средствами на грани устойчивости в стрессовом сценарии",
 IF(I14="Нет","Обеспеченность собственными оборотными средствами просела ниже нормы в стрессовом сценарии","")))</f>
        <v>Обеспеченность собственными оборотными средствами сохраняется в стрессовом сценарии</v>
      </c>
      <c r="Q14" s="2"/>
    </row>
    <row r="15" spans="1:17" ht="109.9" customHeight="1">
      <c r="A15" s="4" t="s">
        <v>650</v>
      </c>
      <c r="B15" s="2" t="s">
        <v>651</v>
      </c>
      <c r="C15" s="72">
        <f>AVERAGE('3.Исх проект данные и риски  '!E34:G34)</f>
        <v>0.61832981447564783</v>
      </c>
      <c r="D15" s="72">
        <f>AVERAGE('3.Исх проект данные и риски  '!E145:G145)</f>
        <v>0.60760742313116178</v>
      </c>
      <c r="E15" s="72">
        <f>VLOOKUP($B$3,'5.Отрасл нормативы и WACC '!$C$2:$I$175,4,FALSE)</f>
        <v>0.85</v>
      </c>
      <c r="F15" s="72" t="s">
        <v>927</v>
      </c>
      <c r="G15" s="72" t="str">
        <f>IF(C15="","",IF(C15&lt;=E15,"Да",IF(C15&lt;=E15*1.1,"Пограничное","Нет")))</f>
        <v>Да</v>
      </c>
      <c r="H15" s="72">
        <f t="shared" si="0"/>
        <v>1</v>
      </c>
      <c r="I15" s="72" t="str">
        <f>IF(D15="","",IF(D15&lt;=E15,"Да",IF(D15&lt;=E15*1.1,"Пограничное","Нет")))</f>
        <v>Да</v>
      </c>
      <c r="J15" s="72">
        <f t="shared" si="1"/>
        <v>1</v>
      </c>
      <c r="K15" s="63" t="str">
        <f>IF(G15="Да","Коэффициент обеспеченности обязательств активами соответствует нормативу, долговая нагрузка находится в допустимых пределах",
 IF(G15="Пограничное","Коэффициент обеспеченности обязательств активами близок к нормативу, долговая нагрузка повышена",
 IF(G15="Нет","Коэффициент обеспеченности обязательств активами превышает норматив, долговая нагрузка чрезмерна","")))</f>
        <v>Коэффициент обеспеченности обязательств активами соответствует нормативу, долговая нагрузка находится в допустимых пределах</v>
      </c>
      <c r="L15" s="63" t="str">
        <f>IF(I15="Да","Коэффициент обеспеченности обязательств активами сохраняется в пределах нормы даже при стрессовом сценарии",
 IF(I15="Пограничное","Коэффициент обеспеченности обязательств активами на грани устойчивости в стрессовом сценарии",
 IF(I15="Нет","Коэффициент обеспеченности обязательств активами выходит за пределы нормы в стрессовом сценарии","")))</f>
        <v>Коэффициент обеспеченности обязательств активами сохраняется в пределах нормы даже при стрессовом сценарии</v>
      </c>
      <c r="Q15" s="2"/>
    </row>
    <row r="16" spans="1:17" ht="69" customHeight="1">
      <c r="A16" s="4" t="s">
        <v>550</v>
      </c>
      <c r="B16" s="2" t="s">
        <v>549</v>
      </c>
      <c r="C16" s="72">
        <f>AVERAGE('3.Исх проект данные и риски  '!E32:G32)</f>
        <v>0.76553257699091037</v>
      </c>
      <c r="D16" s="72">
        <f>AVERAGE('3.Исх проект данные и риски  '!E148:G148)</f>
        <v>0.7461012481474748</v>
      </c>
      <c r="E16" s="72">
        <f>VLOOKUP($B$3,'5.Отрасл нормативы и WACC '!$C$2:$I$175,6,FALSE)</f>
        <v>0.5</v>
      </c>
      <c r="F16" s="72" t="s">
        <v>932</v>
      </c>
      <c r="G16" s="72" t="str">
        <f>IF(C16="","",IF(C16&gt;=E16,"Да",IF(C16&gt;=E16*0.9,"Пограничное","Нет")))</f>
        <v>Да</v>
      </c>
      <c r="H16" s="72">
        <f t="shared" si="0"/>
        <v>1</v>
      </c>
      <c r="I16" s="72" t="str">
        <f>IF(D16="","",IF(D16&gt;=E16,"Да",IF(D16&gt;=E16*0.9,"Пограничное","Нет")))</f>
        <v>Да</v>
      </c>
      <c r="J16" s="72">
        <f t="shared" si="1"/>
        <v>1</v>
      </c>
      <c r="K16" s="63" t="str">
        <f>IF(G16="Да","Коэффициент автономии соответствует нормативу, доля собственного капитала в активах достаточна",
 IF(G16="Пограничное","Коэффициент автономии близок к нормативу, устойчивость компании ограничена",
 IF(G16="Нет","Коэффициент автономии ниже нормативного уровня, зависимость от заемных средств высока","")))</f>
        <v>Коэффициент автономии соответствует нормативу, доля собственного капитала в активах достаточна</v>
      </c>
      <c r="L16" s="63" t="str">
        <f>IF(I16="Да","Коэффициент автономии сохраняется в пределах нормы даже при стрессовом сценарии",
 IF(I16="Пограничное","Коэффициент автономии на грани устойчивости в стрессовом сценарии",
 IF(I16="Нет","Коэффициент автономии выходит за пределы нормы в стрессовом сценарии, зависимость от заемных средств усиливается","")))</f>
        <v>Коэффициент автономии сохраняется в пределах нормы даже при стрессовом сценарии</v>
      </c>
    </row>
    <row r="17" spans="1:17" ht="77.400000000000006" customHeight="1">
      <c r="A17" s="4" t="s">
        <v>543</v>
      </c>
      <c r="B17" s="2" t="s">
        <v>580</v>
      </c>
      <c r="C17" s="73">
        <f>AVERAGE('3.Исх проект данные и риски  '!E35:G35)</f>
        <v>0.16005189255189256</v>
      </c>
      <c r="D17" s="73">
        <f>AVERAGE('3.Исх проект данные и риски  '!E146:G146)</f>
        <v>7.6230981099661865E-2</v>
      </c>
      <c r="E17" s="73">
        <f>VLOOKUP($B$3,'5.Отрасл нормативы и WACC '!$C$2:$I$175,5,FALSE)</f>
        <v>0.03</v>
      </c>
      <c r="F17" s="73" t="s">
        <v>936</v>
      </c>
      <c r="G17" s="72" t="str">
        <f>IF(C17="","",IF(C17&gt;=E17,"Да",IF(C17&gt;=E17*0.9,"Пограничное","Нет")))</f>
        <v>Да</v>
      </c>
      <c r="H17" s="72">
        <f t="shared" si="0"/>
        <v>1</v>
      </c>
      <c r="I17" s="72" t="str">
        <f>IF(D17="","",IF(D17&gt;=E17,"Да",IF(D17&gt;=E17*0.9,"Пограничное","Нет")))</f>
        <v>Да</v>
      </c>
      <c r="J17" s="72">
        <f t="shared" si="1"/>
        <v>1</v>
      </c>
      <c r="K17" s="63" t="str">
        <f>IF(G17="Да","Рентабельность активов соответствует нормативу, эффективность использования активов достаточна",
 IF(G17="Пограничное","Рентабельность активов близка к нормативу, эффективность использования активов ограничена",
 IF(G17="Нет","Рентабельность активов ниже нормативного уровня, активы используются недостаточно эффективно","")))</f>
        <v>Рентабельность активов соответствует нормативу, эффективность использования активов достаточна</v>
      </c>
      <c r="L17" s="63" t="str">
        <f>IF(I17="Да","Рентабельность активов сохраняется в пределах нормы даже при стрессовом сценарии",
 IF(I17="Пограничное","Рентабельность активов на грани устойчивости в стрессовом сценарии",
 IF(I17="Нет","Рентабельность активов выходит за пределы нормы в стрессовом сценарии, эффективность использования активов снижается","")))</f>
        <v>Рентабельность активов сохраняется в пределах нормы даже при стрессовом сценарии</v>
      </c>
      <c r="Q17" s="2"/>
    </row>
    <row r="18" spans="1:17" ht="97.2" customHeight="1">
      <c r="A18" s="4" t="s">
        <v>574</v>
      </c>
      <c r="B18" s="2" t="s">
        <v>581</v>
      </c>
      <c r="C18" s="73">
        <f>AVERAGE('3.Исх проект данные и риски  '!E36:G36)</f>
        <v>0.20941052010115399</v>
      </c>
      <c r="D18" s="73">
        <f>AVERAGE('3.Исх проект данные и риски  '!E147:G147)</f>
        <v>0.10211574601953748</v>
      </c>
      <c r="E18" s="73">
        <f>VLOOKUP($B$3,'5.Отрасл нормативы и WACC '!$C$2:$M$175,11,FALSE)</f>
        <v>5.718606524169445E-3</v>
      </c>
      <c r="F18" s="73" t="s">
        <v>936</v>
      </c>
      <c r="G18" s="72" t="str">
        <f>IF(C18="","",IF(C18&gt;=E18,"Да",IF(C18&gt;=E18*0.9,"Пограничное","Нет")))</f>
        <v>Да</v>
      </c>
      <c r="H18" s="72">
        <f t="shared" si="0"/>
        <v>1</v>
      </c>
      <c r="I18" s="72" t="str">
        <f>IF(D18="","",IF(D18&gt;=E18,"Да",IF(D18&gt;=E18*0.9,"Пограничное","Нет")))</f>
        <v>Да</v>
      </c>
      <c r="J18" s="72">
        <f t="shared" si="1"/>
        <v>1</v>
      </c>
      <c r="K18" s="63" t="str">
        <f>IF(G18="Да","Рентабельность капитала (ROE) превышает среднеотраслевую, проект обеспечивает доходность выше средней",
 IF(G18="Пограничное","Рентабельность капитала (ROE) близка к средней, доходность на грани достаточности",
 IF(G18="Нет","Рентабельность капитала (ROE) ниже средней","")))</f>
        <v>Рентабельность капитала (ROE) превышает среднеотраслевую, проект обеспечивает доходность выше средней</v>
      </c>
      <c r="L18" s="63" t="str">
        <f>IF(I18="Да","Рентабельность капитала (ROE) остаётся выше WACC даже в стрессовом сценарии",
 IF(I18="Пограничное","Рентабельность капитала (ROE) близка к WACC в стрессовом сценарии, устойчивость ограничена",
 IF(I18="Нет","Рентабельность капитала (ROE) падает ниже WACC в стрессовом сценарии, проект теряет инвестиционную привлекательность","")))</f>
        <v>Рентабельность капитала (ROE) остаётся выше WACC даже в стрессовом сценарии</v>
      </c>
      <c r="Q18" s="2"/>
    </row>
    <row r="19" spans="1:17" ht="73.75">
      <c r="A19" s="4" t="s">
        <v>829</v>
      </c>
      <c r="B19" s="2" t="s">
        <v>931</v>
      </c>
      <c r="C19" s="73">
        <f>AVERAGE('3.Исх проект данные и риски  '!E118:G118)</f>
        <v>9.4337163139809166E-2</v>
      </c>
      <c r="D19" s="73">
        <f>AVERAGE('3.Исх проект данные и риски  '!E129:G129)</f>
        <v>0.10047950308601289</v>
      </c>
      <c r="E19" s="74">
        <f>VLOOKUP(B3,'5.Отрасл нормативы и WACC '!$C$2:$N$175,12,FALSE)</f>
        <v>9.0460214614868167E-2</v>
      </c>
      <c r="F19" s="74" t="s">
        <v>935</v>
      </c>
      <c r="G19" s="75" t="str">
        <f>IF(E19="","н/д",IF(C19 &gt; E19, "Нет", "Да"))</f>
        <v>Нет</v>
      </c>
      <c r="H19" s="72">
        <f t="shared" si="0"/>
        <v>0</v>
      </c>
      <c r="I19" s="75" t="str">
        <f>IF(D19="","",IF(D19 &gt; E19, "Нет", "Да"))</f>
        <v>Нет</v>
      </c>
      <c r="J19" s="72">
        <f t="shared" si="1"/>
        <v>0</v>
      </c>
      <c r="K19" s="63" t="str">
        <f>IF(G19="Да","Средневзвешенная ставка по заемным средствам соответствует нормативу, стоимость привлечения капитала допустима",
 IF(G19="Пограничное","Средневзвешенная ставка по заемным средствам близка к нормативу, стоимость капитала повышена",
 IF(G19="Нет","Средневзвешенная ставка по заемным средствам превышает норматив, стоимость привлечения капитала чрезмерна","")))</f>
        <v>Средневзвешенная ставка по заемным средствам превышает норматив, стоимость привлечения капитала чрезмерна</v>
      </c>
      <c r="L19" s="63" t="str">
        <f>IF(I19="Да","Средневзвешенная ставка по заемным средствам сохраняется в пределах нормы даже при стрессовом сценарии",
 IF(I19="Пограничное","Средневзвешенная ставка по заемным средствам на грани устойчивости в стрессовом сценарии",
 IF(I19="Нет","Средневзвешенная ставка по заемным средствам выходит за пределы нормы в стрессовом сценарии, стоимость капитала становится чрезмерной","")))</f>
        <v>Средневзвешенная ставка по заемным средствам выходит за пределы нормы в стрессовом сценарии, стоимость капитала становится чрезмерной</v>
      </c>
      <c r="Q19" s="2"/>
    </row>
    <row r="20" spans="1:17" ht="96" customHeight="1">
      <c r="A20" s="4" t="s">
        <v>576</v>
      </c>
      <c r="B20" s="2" t="s">
        <v>873</v>
      </c>
      <c r="C20" s="75">
        <f>'6.Расчет предельной ставки'!B4</f>
        <v>8</v>
      </c>
      <c r="D20" s="75">
        <f>'6.Расчет предельной ставки'!G4</f>
        <v>-0.47834244834638828</v>
      </c>
      <c r="E20" s="76"/>
      <c r="F20" s="96" t="s">
        <v>937</v>
      </c>
      <c r="G20" s="58" t="str">
        <f>IF(D20&gt;0,"Да","Нет")</f>
        <v>Нет</v>
      </c>
      <c r="H20" s="72">
        <f>IF(G20="Да",1,IF(G20="Пограничное",0.5,IF(G20="Нет",0,"")))</f>
        <v>0</v>
      </c>
      <c r="I20" s="58" t="str">
        <f>IF(D20&gt;0,"Да","Нет")</f>
        <v>Нет</v>
      </c>
      <c r="J20" s="72">
        <f>IF(I20="Да",1,IF(I20="Пограничное",0.5,IF(I20="Нет",0,"")))</f>
        <v>0</v>
      </c>
      <c r="K20" s="63" t="str">
        <f>IF(G20="Да","Норматив DSCR ≥ 1,2 выполняется при положительной ставке",
"Норматив DSCR ≥ 1,2 недостижим при положительной ставке, возвратность под риском")</f>
        <v>Норматив DSCR ≥ 1,2 недостижим при положительной ставке, возвратность под риском</v>
      </c>
      <c r="L20" s="63"/>
      <c r="Q20" s="2"/>
    </row>
    <row r="21" spans="1:17" ht="93" customHeight="1">
      <c r="A21" s="4" t="s">
        <v>939</v>
      </c>
      <c r="B21" s="9" t="s">
        <v>638</v>
      </c>
      <c r="C21" s="73">
        <f>'3.Исх проект данные и риски  '!D19</f>
        <v>0.27020660147388931</v>
      </c>
      <c r="D21" s="73">
        <f>'3.Исх проект данные и риски  '!D153</f>
        <v>-0.22376688611635764</v>
      </c>
      <c r="E21" s="73" t="e">
        <f>VLOOKUP(B3,'5.Отрасл нормативы и WACC '!$C$35:$M$175,8,FALSE)</f>
        <v>#N/A</v>
      </c>
      <c r="F21" s="96" t="s">
        <v>929</v>
      </c>
      <c r="G21" s="77" t="e">
        <f>IF(C21="","",IF(C21&gt;=E21,"Да",IF(C21&gt;=E21*0.9,"Пограничное","Нет")))</f>
        <v>#N/A</v>
      </c>
      <c r="H21" s="72" t="e">
        <f>IF(G21="Да",1,IF(G21="Пограничное",0.5,IF(G21="Нет",0,"")))</f>
        <v>#N/A</v>
      </c>
      <c r="I21" s="58" t="e">
        <f>IF(D21="","",IF(D21&lt;E21,"Нет",IF(D21&lt;=E21*1.1,"Да","Пограничное")))</f>
        <v>#N/A</v>
      </c>
      <c r="J21" s="72" t="e">
        <f>IF(I21="Да",1,IF(I21="Пограничное",0.5,IF(I21="Нет",0,"")))</f>
        <v>#N/A</v>
      </c>
      <c r="K21" s="63" t="e">
        <f>IF(G21="Да","ВНД превышает норматив, проект обеспечивает доходность выше стоимости капитала",
"ВНД ниже нормативного уровня, проект требует пересмотра доходности")</f>
        <v>#N/A</v>
      </c>
      <c r="L21" s="63" t="e">
        <f>IF(I21="Да","ВНД в стресс-сценарии сохраняется выше нуля",
"ВНД в стресс-сценарии отрицательная, проект теряет инвестиционную привлекательность")</f>
        <v>#N/A</v>
      </c>
    </row>
    <row r="22" spans="1:17" ht="46.9" customHeight="1">
      <c r="A22" s="4" t="s">
        <v>575</v>
      </c>
      <c r="B22" s="2" t="s">
        <v>577</v>
      </c>
      <c r="C22" s="63"/>
      <c r="D22" s="72">
        <f>'3.Исх проект данные и риски  '!D152</f>
        <v>-2.6700656894620831</v>
      </c>
      <c r="E22" s="72"/>
      <c r="F22" s="72"/>
      <c r="G22" s="75"/>
      <c r="H22" s="72"/>
      <c r="I22" s="75" t="str">
        <f>IF(D22&gt;=-0.1,"Да","Нет")</f>
        <v>Нет</v>
      </c>
      <c r="J22" s="72">
        <f>IF(I22="Да",1,IF(I22="Пограничное",0.5,IF(I22="Нет",0,"")))</f>
        <v>0</v>
      </c>
      <c r="K22" s="58"/>
      <c r="L22" s="63" t="str">
        <f>IF(I22="Да","Чувствительность NPV в пределах нормы, устойчивость доходности сохраняется",
"Чувствительность NPV критическая, доходность проекта уязвима")</f>
        <v>Чувствительность NPV критическая, доходность проекта уязвима</v>
      </c>
      <c r="Q22" s="2"/>
    </row>
  </sheetData>
  <conditionalFormatting sqref="H11:H16">
    <cfRule type="iconSet" priority="21">
      <iconSet showValue="0">
        <cfvo type="percent" val="0"/>
        <cfvo type="num" val="0.5"/>
        <cfvo type="num" val="1"/>
      </iconSet>
    </cfRule>
  </conditionalFormatting>
  <conditionalFormatting sqref="J11:J19 J21:J22">
    <cfRule type="iconSet" priority="17">
      <iconSet showValue="0">
        <cfvo type="percent" val="0"/>
        <cfvo type="num" val="0.5"/>
        <cfvo type="num" val="1"/>
      </iconSet>
    </cfRule>
  </conditionalFormatting>
  <conditionalFormatting sqref="H17:H22">
    <cfRule type="iconSet" priority="16">
      <iconSet showValue="0">
        <cfvo type="percent" val="0"/>
        <cfvo type="num" val="0.5"/>
        <cfvo type="num" val="1"/>
      </iconSet>
    </cfRule>
  </conditionalFormatting>
  <conditionalFormatting sqref="B8:C8">
    <cfRule type="containsText" dxfId="11" priority="14" operator="containsText" text="✕">
      <formula>NOT(ISERROR(SEARCH("✕",B8)))</formula>
    </cfRule>
    <cfRule type="containsText" dxfId="10" priority="15" operator="containsText" text="✓">
      <formula>NOT(ISERROR(SEARCH("✓",B8)))</formula>
    </cfRule>
  </conditionalFormatting>
  <conditionalFormatting sqref="J20">
    <cfRule type="iconSet" priority="12">
      <iconSet showValue="0">
        <cfvo type="percent" val="0"/>
        <cfvo type="num" val="0.5"/>
        <cfvo type="num" val="1"/>
      </iconSet>
    </cfRule>
  </conditionalFormatting>
  <conditionalFormatting sqref="E8:F8">
    <cfRule type="expression" dxfId="9" priority="9">
      <formula>ISNUMBER(SEARCH("не соответствует",$E$8))</formula>
    </cfRule>
    <cfRule type="expression" dxfId="8" priority="10">
      <formula>ISNUMBER(SEARCH("частично соответствует",$E$8))</formula>
    </cfRule>
    <cfRule type="expression" dxfId="7" priority="11">
      <formula>ISNUMBER(SEARCH("соответствует",$E$8))</formula>
    </cfRule>
  </conditionalFormatting>
  <conditionalFormatting sqref="B8">
    <cfRule type="expression" dxfId="6" priority="5">
      <formula>ISNUMBER(SEARCH("не соответствует",$B$8))</formula>
    </cfRule>
    <cfRule type="expression" dxfId="5" priority="6">
      <formula>ISNUMBER(SEARCH("частично соответствует",$B$8))</formula>
    </cfRule>
    <cfRule type="expression" dxfId="4" priority="7">
      <formula>ISNUMBER(SEARCH("соответствует",$B$8))</formula>
    </cfRule>
    <cfRule type="expression" dxfId="3" priority="8">
      <formula>ISNUMBER(SEARCH("соответствует",$B$8))</formula>
    </cfRule>
  </conditionalFormatting>
  <conditionalFormatting sqref="C8">
    <cfRule type="expression" dxfId="2" priority="1">
      <formula>ISNUMBER(SEARCH("не соответствует",$C$8))</formula>
    </cfRule>
    <cfRule type="expression" dxfId="1" priority="2">
      <formula>ISNUMBER(SEARCH("частично соответствует",$C$8))</formula>
    </cfRule>
    <cfRule type="expression" dxfId="0" priority="4">
      <formula>ISNUMBER(SEARCH("соответствует",$C$8))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F7C169-F9E4-47B3-8D35-0A735B32CF96}">
          <x14:formula1>
            <xm:f>'5.Отрасл нормативы и WACC '!$C$2:$C$175</xm:f>
          </x14:formula1>
          <xm:sqref>B3:D4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2819-0241-459A-BF2C-9196BA48CDA9}">
  <dimension ref="A1:N1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" sqref="N1"/>
    </sheetView>
  </sheetViews>
  <sheetFormatPr defaultRowHeight="14.75"/>
  <cols>
    <col min="3" max="3" width="17.31640625" customWidth="1"/>
    <col min="4" max="4" width="13.86328125" customWidth="1"/>
    <col min="5" max="5" width="12" customWidth="1"/>
    <col min="6" max="6" width="16.2265625" customWidth="1"/>
    <col min="7" max="7" width="12" customWidth="1"/>
    <col min="8" max="8" width="15.453125" customWidth="1"/>
    <col min="9" max="9" width="12.453125" customWidth="1"/>
    <col min="11" max="11" width="8.86328125" style="100"/>
    <col min="14" max="14" width="8.86328125" style="89"/>
  </cols>
  <sheetData>
    <row r="1" spans="1:14" ht="191.75">
      <c r="A1" t="s">
        <v>5</v>
      </c>
      <c r="B1" t="s">
        <v>11</v>
      </c>
      <c r="C1" t="s">
        <v>6</v>
      </c>
      <c r="D1" s="2" t="s">
        <v>8</v>
      </c>
      <c r="E1" s="2" t="s">
        <v>9</v>
      </c>
      <c r="F1" s="2" t="s">
        <v>10</v>
      </c>
      <c r="G1" s="2" t="s">
        <v>801</v>
      </c>
      <c r="H1" s="2" t="s">
        <v>804</v>
      </c>
      <c r="I1" s="9" t="s">
        <v>803</v>
      </c>
      <c r="J1" s="9" t="s">
        <v>806</v>
      </c>
      <c r="K1" s="98" t="s">
        <v>4</v>
      </c>
      <c r="L1" s="2" t="s">
        <v>901</v>
      </c>
      <c r="M1" s="2" t="s">
        <v>902</v>
      </c>
      <c r="N1" s="101" t="s">
        <v>934</v>
      </c>
    </row>
    <row r="2" spans="1:14">
      <c r="A2" t="s">
        <v>12</v>
      </c>
      <c r="B2" t="s">
        <v>13</v>
      </c>
      <c r="C2" t="s">
        <v>14</v>
      </c>
      <c r="D2">
        <v>1.5</v>
      </c>
      <c r="E2">
        <v>0.2</v>
      </c>
      <c r="F2">
        <v>0.85</v>
      </c>
      <c r="G2" s="13">
        <v>0.03</v>
      </c>
      <c r="H2">
        <v>0.5</v>
      </c>
      <c r="I2">
        <v>0.7</v>
      </c>
      <c r="J2" s="21">
        <v>0.10042709350585938</v>
      </c>
      <c r="K2" s="99">
        <v>9.6547679901123049E-2</v>
      </c>
      <c r="L2" s="21">
        <v>1.1864050291478634E-2</v>
      </c>
      <c r="M2" s="21">
        <v>5.718606524169445E-3</v>
      </c>
      <c r="N2" s="21">
        <v>9.0460214614868167E-2</v>
      </c>
    </row>
    <row r="3" spans="1:14">
      <c r="A3" t="s">
        <v>15</v>
      </c>
      <c r="B3" t="s">
        <v>16</v>
      </c>
      <c r="C3" t="s">
        <v>17</v>
      </c>
      <c r="D3">
        <v>1.5</v>
      </c>
      <c r="E3">
        <v>0.2</v>
      </c>
      <c r="F3">
        <v>0.85</v>
      </c>
      <c r="G3" s="13">
        <v>0.03</v>
      </c>
      <c r="H3">
        <v>0.5</v>
      </c>
      <c r="I3">
        <v>0.7</v>
      </c>
      <c r="J3" s="21">
        <v>0.11956232070922851</v>
      </c>
      <c r="K3" s="99">
        <v>0.11861749649047852</v>
      </c>
      <c r="L3" s="21">
        <v>1.4733034186065197E-2</v>
      </c>
      <c r="M3" s="21">
        <v>9.4596175476908684E-3</v>
      </c>
      <c r="N3" s="21">
        <v>9.1881303787231444E-2</v>
      </c>
    </row>
    <row r="4" spans="1:14">
      <c r="A4" t="s">
        <v>18</v>
      </c>
      <c r="B4" t="s">
        <v>19</v>
      </c>
      <c r="C4" t="s">
        <v>20</v>
      </c>
      <c r="D4">
        <v>1.5</v>
      </c>
      <c r="E4">
        <v>0.2</v>
      </c>
      <c r="F4">
        <v>0.85</v>
      </c>
      <c r="G4" s="13">
        <v>0.03</v>
      </c>
      <c r="H4">
        <v>0.5</v>
      </c>
      <c r="I4">
        <v>0.7</v>
      </c>
      <c r="J4" s="21">
        <v>0.12457705497741699</v>
      </c>
      <c r="K4" s="99">
        <v>0.12458437919616699</v>
      </c>
      <c r="L4" s="21">
        <v>4.4309362769126892E-2</v>
      </c>
      <c r="M4" s="21">
        <v>3.3882249146699905E-2</v>
      </c>
      <c r="N4" s="21">
        <v>0.10201286315917969</v>
      </c>
    </row>
    <row r="5" spans="1:14">
      <c r="A5" t="s">
        <v>21</v>
      </c>
      <c r="B5" t="s">
        <v>22</v>
      </c>
      <c r="C5" t="s">
        <v>23</v>
      </c>
      <c r="D5">
        <v>1.5</v>
      </c>
      <c r="E5">
        <v>0.2</v>
      </c>
      <c r="F5">
        <v>0.85</v>
      </c>
      <c r="G5" s="13">
        <v>0.03</v>
      </c>
      <c r="H5">
        <v>0.5</v>
      </c>
      <c r="I5">
        <v>0.7</v>
      </c>
      <c r="J5" s="21">
        <v>0.10244250297546387</v>
      </c>
      <c r="K5" s="99">
        <v>9.7782983779907226E-2</v>
      </c>
      <c r="L5" s="21">
        <v>1.8049802631139755E-2</v>
      </c>
      <c r="M5" s="21">
        <v>9.5879994332790375E-3</v>
      </c>
      <c r="N5" s="21">
        <v>8.42229175567627E-2</v>
      </c>
    </row>
    <row r="6" spans="1:14">
      <c r="A6" t="s">
        <v>24</v>
      </c>
      <c r="B6" t="s">
        <v>25</v>
      </c>
      <c r="C6" t="s">
        <v>26</v>
      </c>
      <c r="D6">
        <v>1.5</v>
      </c>
      <c r="E6">
        <v>0.2</v>
      </c>
      <c r="F6">
        <v>0.85</v>
      </c>
      <c r="G6" s="13">
        <v>0.03</v>
      </c>
      <c r="H6">
        <v>0.5</v>
      </c>
      <c r="I6">
        <v>0.7</v>
      </c>
      <c r="J6" s="21">
        <v>8.4019432067871089E-2</v>
      </c>
      <c r="K6" s="99">
        <v>7.7156634330749513E-2</v>
      </c>
      <c r="L6" s="21">
        <v>0.15349498391151428</v>
      </c>
      <c r="M6" s="21">
        <v>3.9379406720399857E-2</v>
      </c>
      <c r="N6" s="21">
        <v>6.6950626373291022E-2</v>
      </c>
    </row>
    <row r="7" spans="1:14">
      <c r="A7" t="s">
        <v>27</v>
      </c>
      <c r="B7" t="s">
        <v>28</v>
      </c>
      <c r="C7" t="s">
        <v>29</v>
      </c>
      <c r="D7">
        <v>1.5</v>
      </c>
      <c r="E7">
        <v>0.2</v>
      </c>
      <c r="F7">
        <v>0.85</v>
      </c>
      <c r="G7" s="13">
        <v>0.03</v>
      </c>
      <c r="H7">
        <v>0.5</v>
      </c>
      <c r="I7">
        <v>0.7</v>
      </c>
      <c r="J7" s="21">
        <v>0.11951457977294921</v>
      </c>
      <c r="K7" s="99">
        <v>0.1158951187133789</v>
      </c>
      <c r="L7" s="21">
        <v>1.6406994545832276E-3</v>
      </c>
      <c r="M7" s="21">
        <v>1.2673988239839673E-3</v>
      </c>
      <c r="N7" s="21">
        <v>0.10189034461975098</v>
      </c>
    </row>
    <row r="8" spans="1:14">
      <c r="A8" t="s">
        <v>30</v>
      </c>
      <c r="B8" t="s">
        <v>31</v>
      </c>
      <c r="C8" t="s">
        <v>32</v>
      </c>
      <c r="D8">
        <v>1.5</v>
      </c>
      <c r="E8">
        <v>0.2</v>
      </c>
      <c r="F8">
        <v>0.85</v>
      </c>
      <c r="G8" s="13">
        <v>0.03</v>
      </c>
      <c r="H8">
        <v>0.5</v>
      </c>
      <c r="I8">
        <v>0.7</v>
      </c>
      <c r="J8" s="21">
        <v>0.10213825225830078</v>
      </c>
      <c r="K8" s="99">
        <v>0.10328500747680663</v>
      </c>
      <c r="L8" s="21"/>
      <c r="M8" s="21"/>
      <c r="N8" s="21">
        <v>0</v>
      </c>
    </row>
    <row r="9" spans="1:14">
      <c r="A9" t="s">
        <v>33</v>
      </c>
      <c r="B9" t="s">
        <v>34</v>
      </c>
      <c r="C9" t="s">
        <v>35</v>
      </c>
      <c r="D9">
        <v>1.5</v>
      </c>
      <c r="E9">
        <v>0.2</v>
      </c>
      <c r="F9">
        <v>0.85</v>
      </c>
      <c r="G9" s="13">
        <v>0.03</v>
      </c>
      <c r="H9">
        <v>0.5</v>
      </c>
      <c r="I9">
        <v>0.7</v>
      </c>
      <c r="J9" s="21">
        <v>0.10213825225830078</v>
      </c>
      <c r="K9" s="99">
        <v>0.10328500747680663</v>
      </c>
      <c r="L9" s="21">
        <v>5.2852019667625427E-2</v>
      </c>
      <c r="M9" s="21">
        <v>2.1018020808696747E-2</v>
      </c>
      <c r="N9" s="21">
        <v>8.2766666412353515E-2</v>
      </c>
    </row>
    <row r="10" spans="1:14">
      <c r="A10" t="s">
        <v>36</v>
      </c>
      <c r="B10" t="s">
        <v>37</v>
      </c>
      <c r="C10" t="s">
        <v>38</v>
      </c>
      <c r="D10">
        <v>1.5</v>
      </c>
      <c r="E10">
        <v>0.2</v>
      </c>
      <c r="F10">
        <v>0.85</v>
      </c>
      <c r="G10" s="13">
        <v>0.03</v>
      </c>
      <c r="H10">
        <v>0.5</v>
      </c>
      <c r="I10">
        <v>0.7</v>
      </c>
      <c r="J10" s="21">
        <v>8.3629817962646485E-2</v>
      </c>
      <c r="K10" s="99">
        <v>9.1427164077758791E-2</v>
      </c>
      <c r="L10" s="21">
        <v>0.16327187418937683</v>
      </c>
      <c r="M10" s="21">
        <v>-1.2033631093800068E-2</v>
      </c>
      <c r="N10" s="21">
        <v>0.10594734191894531</v>
      </c>
    </row>
    <row r="11" spans="1:14">
      <c r="A11" t="s">
        <v>39</v>
      </c>
      <c r="B11" t="s">
        <v>40</v>
      </c>
      <c r="C11" t="s">
        <v>41</v>
      </c>
      <c r="D11">
        <v>1.5</v>
      </c>
      <c r="E11">
        <v>0.2</v>
      </c>
      <c r="F11">
        <v>0.85</v>
      </c>
      <c r="G11" s="13">
        <v>0.03</v>
      </c>
      <c r="H11">
        <v>0.5</v>
      </c>
      <c r="I11">
        <v>0.7</v>
      </c>
      <c r="J11" s="21">
        <v>9.6597499847412116E-2</v>
      </c>
      <c r="K11" s="99">
        <v>0.10356629371643067</v>
      </c>
      <c r="L11" s="21">
        <v>3.2991658896207809E-2</v>
      </c>
      <c r="M11" s="21">
        <v>9.7384527325630188E-3</v>
      </c>
      <c r="N11" s="21">
        <v>0.11006666183471679</v>
      </c>
    </row>
    <row r="12" spans="1:14">
      <c r="A12" t="s">
        <v>3</v>
      </c>
      <c r="B12" t="s">
        <v>42</v>
      </c>
      <c r="C12" t="s">
        <v>43</v>
      </c>
      <c r="D12">
        <v>1.5</v>
      </c>
      <c r="E12">
        <v>0.2</v>
      </c>
      <c r="F12">
        <v>0.85</v>
      </c>
      <c r="G12" s="13">
        <v>0.03</v>
      </c>
      <c r="H12">
        <v>0.5</v>
      </c>
      <c r="I12">
        <v>0.7</v>
      </c>
      <c r="J12" s="21">
        <v>0.11236350059509277</v>
      </c>
      <c r="K12" s="99">
        <v>0.11580487251281739</v>
      </c>
      <c r="L12" s="21">
        <v>1.52455884963274E-2</v>
      </c>
      <c r="M12" s="21">
        <v>9.0984581038355827E-3</v>
      </c>
      <c r="N12" s="21">
        <v>8.9400005340576169E-2</v>
      </c>
    </row>
    <row r="13" spans="1:14">
      <c r="A13" t="s">
        <v>44</v>
      </c>
      <c r="B13" t="s">
        <v>45</v>
      </c>
      <c r="C13" t="s">
        <v>46</v>
      </c>
      <c r="D13">
        <v>1.7</v>
      </c>
      <c r="E13">
        <v>0.3</v>
      </c>
      <c r="F13">
        <v>0.85</v>
      </c>
      <c r="G13" s="13">
        <v>0.03</v>
      </c>
      <c r="H13">
        <v>0.5</v>
      </c>
      <c r="I13">
        <v>0.7</v>
      </c>
      <c r="J13" s="21">
        <v>0.14784942626953124</v>
      </c>
      <c r="K13" s="99">
        <v>0.12395280838012696</v>
      </c>
      <c r="L13" s="21">
        <v>2.1829169243574142E-2</v>
      </c>
      <c r="M13" s="21">
        <v>1.8622294068336487E-2</v>
      </c>
      <c r="N13" s="21">
        <v>0.11303868293762206</v>
      </c>
    </row>
    <row r="14" spans="1:14">
      <c r="A14" t="s">
        <v>47</v>
      </c>
      <c r="B14" t="s">
        <v>48</v>
      </c>
      <c r="C14" t="s">
        <v>49</v>
      </c>
      <c r="D14">
        <v>1.7</v>
      </c>
      <c r="E14">
        <v>0.3</v>
      </c>
      <c r="F14">
        <v>0.85</v>
      </c>
      <c r="G14" s="13">
        <v>0.03</v>
      </c>
      <c r="H14">
        <v>0.5</v>
      </c>
      <c r="I14">
        <v>0.7</v>
      </c>
      <c r="J14" s="21">
        <v>0.11365321159362793</v>
      </c>
      <c r="K14" s="99">
        <v>0.11285055160522461</v>
      </c>
      <c r="L14" s="21">
        <v>1.3917342759668827E-2</v>
      </c>
      <c r="M14" s="21">
        <v>9.1120777651667595E-3</v>
      </c>
      <c r="N14" s="21">
        <v>0.11303868293762206</v>
      </c>
    </row>
    <row r="15" spans="1:14">
      <c r="A15" t="s">
        <v>50</v>
      </c>
      <c r="B15" t="s">
        <v>51</v>
      </c>
      <c r="C15" t="s">
        <v>52</v>
      </c>
      <c r="D15">
        <v>1.3</v>
      </c>
      <c r="E15">
        <v>0.2</v>
      </c>
      <c r="F15">
        <v>0.85</v>
      </c>
      <c r="G15" s="13">
        <v>0.03</v>
      </c>
      <c r="H15">
        <v>0.5</v>
      </c>
      <c r="I15">
        <v>0.7</v>
      </c>
      <c r="J15" s="21">
        <v>9.4533281326293947E-2</v>
      </c>
      <c r="K15" s="99">
        <v>9.2694120407104494E-2</v>
      </c>
      <c r="L15" s="21">
        <v>3.3241014927625656E-2</v>
      </c>
      <c r="M15" s="21">
        <v>1.1948114261031151E-2</v>
      </c>
      <c r="N15" s="21">
        <v>9.4843492507934571E-2</v>
      </c>
    </row>
    <row r="16" spans="1:14">
      <c r="A16" t="s">
        <v>53</v>
      </c>
      <c r="B16" t="s">
        <v>54</v>
      </c>
      <c r="C16" t="s">
        <v>55</v>
      </c>
      <c r="D16">
        <v>1.7</v>
      </c>
      <c r="E16">
        <v>0.3</v>
      </c>
      <c r="F16">
        <v>0.85</v>
      </c>
      <c r="G16" s="13">
        <v>0.03</v>
      </c>
      <c r="H16">
        <v>0.5</v>
      </c>
      <c r="I16">
        <v>0.7</v>
      </c>
      <c r="J16" s="21">
        <v>0.11945520401000977</v>
      </c>
      <c r="K16" s="99">
        <v>0.11838357925415038</v>
      </c>
      <c r="L16" s="21">
        <v>5.2929852157831192E-2</v>
      </c>
      <c r="M16" s="21">
        <v>4.116179421544075E-2</v>
      </c>
      <c r="N16" s="21">
        <v>0.10588926315307617</v>
      </c>
    </row>
    <row r="17" spans="1:14">
      <c r="A17" t="s">
        <v>56</v>
      </c>
      <c r="B17" t="s">
        <v>57</v>
      </c>
      <c r="C17" t="s">
        <v>58</v>
      </c>
      <c r="D17">
        <v>1.7</v>
      </c>
      <c r="E17">
        <v>0.3</v>
      </c>
      <c r="F17">
        <v>0.85</v>
      </c>
      <c r="G17" s="13">
        <v>0.03</v>
      </c>
      <c r="H17">
        <v>0.5</v>
      </c>
      <c r="I17">
        <v>0.7</v>
      </c>
      <c r="J17" s="21">
        <v>9.9715652465820315E-2</v>
      </c>
      <c r="K17" s="99">
        <v>0.10790100097656249</v>
      </c>
      <c r="L17" s="21">
        <v>4.7894839197397232E-2</v>
      </c>
      <c r="M17" s="21">
        <v>1.5604119747877121E-2</v>
      </c>
      <c r="N17" s="21">
        <v>0.12018336296081543</v>
      </c>
    </row>
    <row r="18" spans="1:14">
      <c r="A18" t="s">
        <v>59</v>
      </c>
      <c r="B18" t="s">
        <v>60</v>
      </c>
      <c r="C18" t="s">
        <v>61</v>
      </c>
      <c r="D18">
        <v>1.3</v>
      </c>
      <c r="E18">
        <v>0.2</v>
      </c>
      <c r="F18">
        <v>0.85</v>
      </c>
      <c r="G18" s="13">
        <v>0.03</v>
      </c>
      <c r="H18">
        <v>0.5</v>
      </c>
      <c r="I18">
        <v>0.7</v>
      </c>
      <c r="J18" s="21">
        <v>9.8310298919677741E-2</v>
      </c>
      <c r="K18" s="99">
        <v>0.10594018936157226</v>
      </c>
      <c r="L18" s="21">
        <v>0.176756352186203</v>
      </c>
      <c r="M18" s="21">
        <v>7.3079213500022888E-2</v>
      </c>
      <c r="N18" s="21">
        <v>7.8403291702270506E-2</v>
      </c>
    </row>
    <row r="19" spans="1:14">
      <c r="A19" t="s">
        <v>62</v>
      </c>
      <c r="B19" t="s">
        <v>63</v>
      </c>
      <c r="C19" t="s">
        <v>64</v>
      </c>
      <c r="D19">
        <v>1.3</v>
      </c>
      <c r="E19">
        <v>0.2</v>
      </c>
      <c r="F19">
        <v>0.85</v>
      </c>
      <c r="G19" s="13">
        <v>0.03</v>
      </c>
      <c r="H19">
        <v>0.5</v>
      </c>
      <c r="I19">
        <v>0.7</v>
      </c>
      <c r="J19" s="21">
        <v>0.10282457351684571</v>
      </c>
      <c r="K19" s="99">
        <v>9.9174156188964843E-2</v>
      </c>
      <c r="L19" s="21">
        <v>3.5623248666524887E-2</v>
      </c>
      <c r="M19" s="21">
        <v>1.7273467034101486E-2</v>
      </c>
      <c r="N19" s="21">
        <v>0.10005048751831054</v>
      </c>
    </row>
    <row r="20" spans="1:14">
      <c r="A20" t="s">
        <v>65</v>
      </c>
      <c r="B20" t="s">
        <v>66</v>
      </c>
      <c r="C20" t="s">
        <v>67</v>
      </c>
      <c r="D20">
        <v>1.3</v>
      </c>
      <c r="E20">
        <v>0.2</v>
      </c>
      <c r="F20">
        <v>0.85</v>
      </c>
      <c r="G20" s="13">
        <v>0.03</v>
      </c>
      <c r="H20">
        <v>0.5</v>
      </c>
      <c r="I20">
        <v>0.7</v>
      </c>
      <c r="J20" s="21">
        <v>9.3821506500244137E-2</v>
      </c>
      <c r="K20" s="99">
        <v>9.9320497512817379E-2</v>
      </c>
      <c r="L20" s="21">
        <v>-1.7676568822935224E-3</v>
      </c>
      <c r="M20" s="21">
        <v>-8.1688143836800009E-5</v>
      </c>
      <c r="N20" s="21">
        <v>8.6833333969116216E-2</v>
      </c>
    </row>
    <row r="21" spans="1:14">
      <c r="A21" t="s">
        <v>68</v>
      </c>
      <c r="B21" t="s">
        <v>69</v>
      </c>
      <c r="C21" t="s">
        <v>70</v>
      </c>
      <c r="D21">
        <v>1.3</v>
      </c>
      <c r="E21">
        <v>0.2</v>
      </c>
      <c r="F21">
        <v>0.85</v>
      </c>
      <c r="G21" s="13">
        <v>0.03</v>
      </c>
      <c r="H21">
        <v>0.5</v>
      </c>
      <c r="I21">
        <v>0.7</v>
      </c>
      <c r="J21" s="21">
        <v>9.1309556961059565E-2</v>
      </c>
      <c r="K21" s="99">
        <v>8.4706983566284186E-2</v>
      </c>
      <c r="L21" s="21">
        <v>8.9287552982568741E-3</v>
      </c>
      <c r="M21" s="21">
        <v>3.7867533974349499E-3</v>
      </c>
      <c r="N21" s="21">
        <v>7.9742565155029296E-2</v>
      </c>
    </row>
    <row r="22" spans="1:14">
      <c r="A22" t="s">
        <v>71</v>
      </c>
      <c r="B22" t="s">
        <v>72</v>
      </c>
      <c r="C22" t="s">
        <v>73</v>
      </c>
      <c r="D22">
        <v>1.3</v>
      </c>
      <c r="E22">
        <v>0.2</v>
      </c>
      <c r="F22">
        <v>0.85</v>
      </c>
      <c r="G22" s="13">
        <v>0.03</v>
      </c>
      <c r="H22">
        <v>0.5</v>
      </c>
      <c r="I22">
        <v>0.7</v>
      </c>
      <c r="J22" s="21">
        <v>0.1070925235748291</v>
      </c>
      <c r="K22" s="99">
        <v>0.10883666038513183</v>
      </c>
      <c r="L22" s="21">
        <v>3.7735939025878906E-2</v>
      </c>
      <c r="M22" s="21">
        <v>2.0131837576627731E-2</v>
      </c>
      <c r="N22" s="21">
        <v>0.10109342575073242</v>
      </c>
    </row>
    <row r="23" spans="1:14">
      <c r="A23" t="s">
        <v>74</v>
      </c>
      <c r="B23" t="s">
        <v>75</v>
      </c>
      <c r="C23" t="s">
        <v>76</v>
      </c>
      <c r="D23">
        <v>1.3</v>
      </c>
      <c r="E23">
        <v>0.2</v>
      </c>
      <c r="F23">
        <v>0.85</v>
      </c>
      <c r="G23" s="13">
        <v>0.03</v>
      </c>
      <c r="H23">
        <v>0.5</v>
      </c>
      <c r="I23">
        <v>0.7</v>
      </c>
      <c r="J23" s="21">
        <v>8.6122426986694339E-2</v>
      </c>
      <c r="K23" s="99">
        <v>9.7283477783203121E-2</v>
      </c>
      <c r="L23" s="21">
        <v>1.3058923184871674E-2</v>
      </c>
      <c r="M23" s="21">
        <v>5.7287341915071011E-3</v>
      </c>
      <c r="N23" s="21">
        <v>0.10861797332763672</v>
      </c>
    </row>
    <row r="24" spans="1:14">
      <c r="A24" t="s">
        <v>77</v>
      </c>
      <c r="B24" t="s">
        <v>78</v>
      </c>
      <c r="C24" t="s">
        <v>79</v>
      </c>
      <c r="D24">
        <v>1.7</v>
      </c>
      <c r="E24">
        <v>0.3</v>
      </c>
      <c r="F24">
        <v>0.85</v>
      </c>
      <c r="G24" s="13">
        <v>0.05</v>
      </c>
      <c r="H24">
        <v>0.5</v>
      </c>
      <c r="I24">
        <v>0.7</v>
      </c>
      <c r="J24" s="21">
        <v>0.10867383003234864</v>
      </c>
      <c r="K24" s="99">
        <v>0.10983064651489258</v>
      </c>
      <c r="L24" s="21">
        <v>4.3601535260677338E-2</v>
      </c>
      <c r="M24" s="21">
        <v>2.3509476333856583E-2</v>
      </c>
      <c r="N24" s="21">
        <v>0.10354120254516602</v>
      </c>
    </row>
    <row r="25" spans="1:14">
      <c r="A25" t="s">
        <v>80</v>
      </c>
      <c r="B25" t="s">
        <v>81</v>
      </c>
      <c r="C25" t="s">
        <v>82</v>
      </c>
      <c r="D25">
        <v>1.7</v>
      </c>
      <c r="E25">
        <v>0.3</v>
      </c>
      <c r="F25">
        <v>0.85</v>
      </c>
      <c r="G25" s="13">
        <v>0.05</v>
      </c>
      <c r="H25">
        <v>0.5</v>
      </c>
      <c r="I25">
        <v>0.7</v>
      </c>
      <c r="J25" s="21">
        <v>0.12223908424377442</v>
      </c>
      <c r="K25" s="99">
        <v>0.12324377059936524</v>
      </c>
      <c r="L25" s="21">
        <v>1.4737917110323906E-2</v>
      </c>
      <c r="M25" s="21">
        <v>1.1150902137160301E-2</v>
      </c>
      <c r="N25" s="21">
        <v>0.10354120254516602</v>
      </c>
    </row>
    <row r="26" spans="1:14">
      <c r="A26" t="s">
        <v>83</v>
      </c>
      <c r="B26" t="s">
        <v>84</v>
      </c>
      <c r="C26" t="s">
        <v>85</v>
      </c>
      <c r="D26">
        <v>1.3</v>
      </c>
      <c r="E26">
        <v>0.2</v>
      </c>
      <c r="F26">
        <v>0.85</v>
      </c>
      <c r="G26" s="13">
        <v>0.05</v>
      </c>
      <c r="H26">
        <v>0.5</v>
      </c>
      <c r="I26">
        <v>0.7</v>
      </c>
      <c r="J26" s="21">
        <v>0.11249465942382812</v>
      </c>
      <c r="K26" s="99">
        <v>0.11102402687072754</v>
      </c>
      <c r="L26" s="21">
        <v>2.0577957853674889E-2</v>
      </c>
      <c r="M26" s="21">
        <v>9.5943426713347435E-3</v>
      </c>
      <c r="N26" s="21">
        <v>0.11180750846862793</v>
      </c>
    </row>
    <row r="27" spans="1:14">
      <c r="A27" t="s">
        <v>86</v>
      </c>
      <c r="B27" t="s">
        <v>87</v>
      </c>
      <c r="C27" t="s">
        <v>88</v>
      </c>
      <c r="D27">
        <v>1.3</v>
      </c>
      <c r="E27">
        <v>0.2</v>
      </c>
      <c r="F27">
        <v>0.85</v>
      </c>
      <c r="G27" s="13">
        <v>0.05</v>
      </c>
      <c r="H27">
        <v>0.5</v>
      </c>
      <c r="I27">
        <v>0.7</v>
      </c>
      <c r="J27" s="21">
        <v>9.1442346572875977E-2</v>
      </c>
      <c r="K27" s="99">
        <v>9.1540565490722661E-2</v>
      </c>
      <c r="L27" s="21">
        <v>1.8420057371258736E-2</v>
      </c>
      <c r="M27" s="21">
        <v>8.9279217645525932E-3</v>
      </c>
      <c r="N27" s="21">
        <v>7.9989619255065925E-2</v>
      </c>
    </row>
    <row r="28" spans="1:14">
      <c r="A28" t="s">
        <v>89</v>
      </c>
      <c r="B28" t="s">
        <v>90</v>
      </c>
      <c r="C28" t="s">
        <v>91</v>
      </c>
      <c r="D28">
        <v>1.3</v>
      </c>
      <c r="E28">
        <v>0.2</v>
      </c>
      <c r="F28">
        <v>0.85</v>
      </c>
      <c r="G28" s="13">
        <v>0.05</v>
      </c>
      <c r="H28">
        <v>0.5</v>
      </c>
      <c r="I28">
        <v>0.7</v>
      </c>
      <c r="J28" s="21">
        <v>0.11456545829772949</v>
      </c>
      <c r="K28" s="99">
        <v>0.11788291931152343</v>
      </c>
      <c r="L28" s="21">
        <v>2.291402593255043E-2</v>
      </c>
      <c r="M28" s="21">
        <v>1.4131634496152401E-2</v>
      </c>
      <c r="N28" s="21">
        <v>0.10854983329772949</v>
      </c>
    </row>
    <row r="29" spans="1:14">
      <c r="A29" t="s">
        <v>92</v>
      </c>
      <c r="B29" t="s">
        <v>93</v>
      </c>
      <c r="C29" t="s">
        <v>94</v>
      </c>
      <c r="D29">
        <v>1.3</v>
      </c>
      <c r="E29">
        <v>0.2</v>
      </c>
      <c r="F29">
        <v>0.85</v>
      </c>
      <c r="G29" s="13">
        <v>0.05</v>
      </c>
      <c r="H29">
        <v>0.5</v>
      </c>
      <c r="I29">
        <v>0.7</v>
      </c>
      <c r="J29" s="21">
        <v>0.11170823097229005</v>
      </c>
      <c r="K29" s="99">
        <v>0.11220043182373046</v>
      </c>
      <c r="L29" s="21">
        <v>4.4504854828119278E-2</v>
      </c>
      <c r="M29" s="21">
        <v>2.6298809796571732E-2</v>
      </c>
      <c r="N29" s="21">
        <v>0.11439426422119141</v>
      </c>
    </row>
    <row r="30" spans="1:14">
      <c r="A30" t="s">
        <v>95</v>
      </c>
      <c r="B30" t="s">
        <v>96</v>
      </c>
      <c r="C30" t="s">
        <v>97</v>
      </c>
      <c r="D30">
        <v>1.3</v>
      </c>
      <c r="E30">
        <v>0.2</v>
      </c>
      <c r="F30">
        <v>0.85</v>
      </c>
      <c r="G30" s="13">
        <v>0.05</v>
      </c>
      <c r="H30">
        <v>0.5</v>
      </c>
      <c r="I30">
        <v>0.7</v>
      </c>
      <c r="J30" s="21">
        <v>0.10214474678039551</v>
      </c>
      <c r="K30" s="99">
        <v>0.12368983268737793</v>
      </c>
      <c r="L30" s="21">
        <v>0.20415548980236053</v>
      </c>
      <c r="M30" s="21">
        <v>1.379124354571104E-3</v>
      </c>
      <c r="N30" s="21">
        <v>0.11239142417907715</v>
      </c>
    </row>
    <row r="31" spans="1:14">
      <c r="A31" t="s">
        <v>98</v>
      </c>
      <c r="B31" t="s">
        <v>99</v>
      </c>
      <c r="C31" t="s">
        <v>100</v>
      </c>
      <c r="D31">
        <v>1.3</v>
      </c>
      <c r="E31">
        <v>0.2</v>
      </c>
      <c r="F31">
        <v>0.85</v>
      </c>
      <c r="G31" s="13">
        <v>0.05</v>
      </c>
      <c r="H31">
        <v>0.5</v>
      </c>
      <c r="I31">
        <v>0.7</v>
      </c>
      <c r="J31" s="21">
        <v>0.11963643074035644</v>
      </c>
      <c r="K31" s="99">
        <v>0.11752607345581055</v>
      </c>
      <c r="L31" s="21">
        <v>3.5127796232700348E-2</v>
      </c>
      <c r="M31" s="21">
        <v>2.2978860884904861E-2</v>
      </c>
      <c r="N31" s="21">
        <v>0.12331859588623047</v>
      </c>
    </row>
    <row r="32" spans="1:14">
      <c r="A32" t="s">
        <v>101</v>
      </c>
      <c r="B32" t="s">
        <v>102</v>
      </c>
      <c r="C32" t="s">
        <v>103</v>
      </c>
      <c r="D32">
        <v>1.3</v>
      </c>
      <c r="E32">
        <v>0.2</v>
      </c>
      <c r="F32">
        <v>0.85</v>
      </c>
      <c r="G32" s="13">
        <v>0.05</v>
      </c>
      <c r="H32">
        <v>0.5</v>
      </c>
      <c r="I32">
        <v>0.7</v>
      </c>
      <c r="J32" s="21">
        <v>0.12363789558410644</v>
      </c>
      <c r="K32" s="99">
        <v>0.12316801071166993</v>
      </c>
      <c r="L32" s="21">
        <v>2.8734592720866203E-2</v>
      </c>
      <c r="M32" s="21">
        <v>1.9315062090754509E-2</v>
      </c>
      <c r="N32" s="21">
        <v>0.11261901855468751</v>
      </c>
    </row>
    <row r="33" spans="1:14">
      <c r="A33" t="s">
        <v>104</v>
      </c>
      <c r="B33" t="s">
        <v>105</v>
      </c>
      <c r="C33" t="s">
        <v>106</v>
      </c>
      <c r="D33">
        <v>1.3</v>
      </c>
      <c r="E33">
        <v>0.2</v>
      </c>
      <c r="F33">
        <v>0.85</v>
      </c>
      <c r="G33" s="13">
        <v>0.05</v>
      </c>
      <c r="H33">
        <v>0.5</v>
      </c>
      <c r="I33">
        <v>0.7</v>
      </c>
      <c r="J33" s="21">
        <v>0.10823730468749999</v>
      </c>
      <c r="K33" s="99">
        <v>0.12011382102966309</v>
      </c>
      <c r="L33" s="21">
        <v>2.3038368672132492E-2</v>
      </c>
      <c r="M33" s="21">
        <v>9.5987841486930847E-3</v>
      </c>
      <c r="N33" s="21">
        <v>0.12598527908325197</v>
      </c>
    </row>
    <row r="34" spans="1:14">
      <c r="A34" t="s">
        <v>107</v>
      </c>
      <c r="B34" t="s">
        <v>108</v>
      </c>
      <c r="C34" t="s">
        <v>109</v>
      </c>
      <c r="D34">
        <v>1.3</v>
      </c>
      <c r="E34">
        <v>0.2</v>
      </c>
      <c r="F34">
        <v>0.85</v>
      </c>
      <c r="G34" s="13">
        <v>0.05</v>
      </c>
      <c r="H34">
        <v>0.5</v>
      </c>
      <c r="I34">
        <v>0.7</v>
      </c>
      <c r="J34" s="21">
        <v>9.6222982406616211E-2</v>
      </c>
      <c r="K34" s="99">
        <v>0.10254467010498047</v>
      </c>
      <c r="L34" s="21">
        <v>-2.4563901126384735E-2</v>
      </c>
      <c r="M34" s="21">
        <v>-7.6909451745450497E-3</v>
      </c>
      <c r="N34" s="21">
        <v>0.10095006942749024</v>
      </c>
    </row>
    <row r="35" spans="1:14">
      <c r="A35" t="s">
        <v>110</v>
      </c>
      <c r="B35" t="s">
        <v>111</v>
      </c>
      <c r="C35" t="s">
        <v>112</v>
      </c>
      <c r="D35">
        <v>1.3</v>
      </c>
      <c r="E35">
        <v>0.2</v>
      </c>
      <c r="F35">
        <v>0.85</v>
      </c>
      <c r="G35" s="13">
        <v>0.05</v>
      </c>
      <c r="H35">
        <v>0.5</v>
      </c>
      <c r="I35">
        <v>0.7</v>
      </c>
      <c r="J35" s="21">
        <v>8.897317886352539E-2</v>
      </c>
      <c r="K35" s="99">
        <v>9.3112354278564458E-2</v>
      </c>
      <c r="L35" s="21">
        <v>4.0306337177753448E-3</v>
      </c>
      <c r="M35" s="21">
        <v>8.2686851965263486E-4</v>
      </c>
      <c r="N35" s="21">
        <v>0.10034845352172851</v>
      </c>
    </row>
    <row r="36" spans="1:14">
      <c r="A36" t="s">
        <v>113</v>
      </c>
      <c r="B36" t="s">
        <v>114</v>
      </c>
      <c r="C36" t="s">
        <v>115</v>
      </c>
      <c r="D36">
        <v>1.3</v>
      </c>
      <c r="E36">
        <v>0.2</v>
      </c>
      <c r="F36">
        <v>0.85</v>
      </c>
      <c r="G36" s="13">
        <v>0.05</v>
      </c>
      <c r="H36">
        <v>0.5</v>
      </c>
      <c r="I36">
        <v>0.7</v>
      </c>
      <c r="J36" s="21">
        <v>8.8954963684082025E-2</v>
      </c>
      <c r="K36" s="99">
        <v>8.9636535644531251E-2</v>
      </c>
      <c r="L36" s="21">
        <v>1.5075886622071266E-2</v>
      </c>
      <c r="M36" s="21">
        <v>9.4987096963450313E-4</v>
      </c>
      <c r="N36" s="21">
        <v>0.10593943595886231</v>
      </c>
    </row>
    <row r="37" spans="1:14">
      <c r="A37" t="s">
        <v>116</v>
      </c>
      <c r="B37" t="s">
        <v>117</v>
      </c>
      <c r="C37" t="s">
        <v>118</v>
      </c>
      <c r="D37">
        <v>1.3</v>
      </c>
      <c r="E37">
        <v>0.2</v>
      </c>
      <c r="F37">
        <v>0.85</v>
      </c>
      <c r="G37" s="13">
        <v>0.05</v>
      </c>
      <c r="H37">
        <v>0.5</v>
      </c>
      <c r="I37">
        <v>0.7</v>
      </c>
      <c r="J37" s="21">
        <v>0.1013191032409668</v>
      </c>
      <c r="K37" s="99">
        <v>0.10915522575378418</v>
      </c>
      <c r="L37" s="21">
        <v>7.0464938879013062E-2</v>
      </c>
      <c r="M37" s="21">
        <v>2.9363453388214111E-2</v>
      </c>
      <c r="N37" s="21">
        <v>0.10505036354064941</v>
      </c>
    </row>
    <row r="38" spans="1:14">
      <c r="A38" t="s">
        <v>119</v>
      </c>
      <c r="B38" t="s">
        <v>120</v>
      </c>
      <c r="C38" t="s">
        <v>121</v>
      </c>
      <c r="D38">
        <v>1.3</v>
      </c>
      <c r="E38">
        <v>0.2</v>
      </c>
      <c r="F38">
        <v>0.85</v>
      </c>
      <c r="G38" s="13">
        <v>0.05</v>
      </c>
      <c r="H38">
        <v>0.5</v>
      </c>
      <c r="I38">
        <v>0.7</v>
      </c>
      <c r="J38" s="21">
        <v>0.12089221954345702</v>
      </c>
      <c r="K38" s="99">
        <v>0.12267413139343261</v>
      </c>
      <c r="L38" s="21">
        <v>3.3360395580530167E-2</v>
      </c>
      <c r="M38" s="21">
        <v>2.6339836418628693E-2</v>
      </c>
      <c r="N38" s="21">
        <v>0.10393503189086914</v>
      </c>
    </row>
    <row r="39" spans="1:14">
      <c r="A39" t="s">
        <v>122</v>
      </c>
      <c r="B39" t="s">
        <v>123</v>
      </c>
      <c r="C39" t="s">
        <v>124</v>
      </c>
      <c r="D39">
        <v>1.7</v>
      </c>
      <c r="E39">
        <v>0.3</v>
      </c>
      <c r="F39">
        <v>0.85</v>
      </c>
      <c r="G39" s="13">
        <v>0.03</v>
      </c>
      <c r="H39">
        <v>0.5</v>
      </c>
      <c r="I39">
        <v>0.7</v>
      </c>
      <c r="J39" s="21">
        <v>0.12960006713867187</v>
      </c>
      <c r="K39" s="99">
        <v>0.12704401969909668</v>
      </c>
      <c r="L39" s="21">
        <v>-1.0293439961969852E-2</v>
      </c>
      <c r="M39" s="21">
        <v>-4.7496971674263477E-3</v>
      </c>
      <c r="N39" s="21">
        <v>0.1696092414855957</v>
      </c>
    </row>
    <row r="40" spans="1:14">
      <c r="A40" t="s">
        <v>125</v>
      </c>
      <c r="B40" t="s">
        <v>126</v>
      </c>
      <c r="C40" t="s">
        <v>127</v>
      </c>
      <c r="D40">
        <v>1.4</v>
      </c>
      <c r="E40">
        <v>0.2</v>
      </c>
      <c r="F40">
        <v>0.85</v>
      </c>
      <c r="G40" s="13">
        <v>0.03</v>
      </c>
      <c r="H40">
        <v>0.5</v>
      </c>
      <c r="I40">
        <v>0.7</v>
      </c>
      <c r="J40" s="21">
        <v>0.11390823364257813</v>
      </c>
      <c r="K40" s="99">
        <v>0.11542202949523926</v>
      </c>
      <c r="L40" s="21">
        <v>2.3512749001383781E-2</v>
      </c>
      <c r="M40" s="21">
        <v>1.5113146044313908E-2</v>
      </c>
      <c r="N40" s="21">
        <v>0.11091847419738769</v>
      </c>
    </row>
    <row r="41" spans="1:14">
      <c r="A41" t="s">
        <v>128</v>
      </c>
      <c r="B41" t="s">
        <v>129</v>
      </c>
      <c r="C41" t="s">
        <v>130</v>
      </c>
      <c r="D41">
        <v>1.4</v>
      </c>
      <c r="E41">
        <v>0.2</v>
      </c>
      <c r="F41">
        <v>0.85</v>
      </c>
      <c r="G41" s="13">
        <v>0.03</v>
      </c>
      <c r="H41">
        <v>0.5</v>
      </c>
      <c r="I41">
        <v>0.7</v>
      </c>
      <c r="J41" s="21">
        <v>0.11404627799987793</v>
      </c>
      <c r="K41" s="99">
        <v>0.11228382110595703</v>
      </c>
      <c r="L41" s="21">
        <v>2.6070259511470795E-2</v>
      </c>
      <c r="M41" s="21">
        <v>1.9413676112890244E-2</v>
      </c>
      <c r="N41" s="21">
        <v>9.5000000000000001E-2</v>
      </c>
    </row>
    <row r="42" spans="1:14">
      <c r="A42" t="s">
        <v>131</v>
      </c>
      <c r="B42" t="s">
        <v>132</v>
      </c>
      <c r="C42" t="s">
        <v>133</v>
      </c>
      <c r="D42">
        <v>1.4</v>
      </c>
      <c r="E42">
        <v>0.2</v>
      </c>
      <c r="F42">
        <v>0.85</v>
      </c>
      <c r="G42" s="13">
        <v>0.03</v>
      </c>
      <c r="H42">
        <v>0.5</v>
      </c>
      <c r="I42">
        <v>0.7</v>
      </c>
      <c r="J42" s="21">
        <v>0.11389782905578613</v>
      </c>
      <c r="K42" s="99">
        <v>0.12112315177917481</v>
      </c>
      <c r="L42" s="21">
        <v>4.0927376598119736E-2</v>
      </c>
      <c r="M42" s="21">
        <v>2.0929571241140366E-2</v>
      </c>
      <c r="N42" s="21">
        <v>0.110440673828125</v>
      </c>
    </row>
    <row r="43" spans="1:14">
      <c r="A43" t="s">
        <v>134</v>
      </c>
      <c r="B43" t="s">
        <v>135</v>
      </c>
      <c r="C43" t="s">
        <v>136</v>
      </c>
      <c r="D43">
        <v>1.4</v>
      </c>
      <c r="E43">
        <v>0.2</v>
      </c>
      <c r="F43">
        <v>0.85</v>
      </c>
      <c r="G43" s="13">
        <v>0.03</v>
      </c>
      <c r="H43">
        <v>0.5</v>
      </c>
      <c r="I43">
        <v>0.7</v>
      </c>
      <c r="J43" s="21">
        <v>0.11377631187438965</v>
      </c>
      <c r="K43" s="99">
        <v>0.11985764503479004</v>
      </c>
      <c r="L43" s="21">
        <v>0.10300664603710175</v>
      </c>
      <c r="M43" s="21">
        <v>7.0125550031661987E-2</v>
      </c>
      <c r="N43" s="21">
        <v>9.9264984130859379E-2</v>
      </c>
    </row>
    <row r="44" spans="1:14">
      <c r="A44" t="s">
        <v>137</v>
      </c>
      <c r="B44" t="s">
        <v>138</v>
      </c>
      <c r="C44" t="s">
        <v>139</v>
      </c>
      <c r="D44">
        <v>1.4</v>
      </c>
      <c r="E44">
        <v>0.2</v>
      </c>
      <c r="F44">
        <v>0.85</v>
      </c>
      <c r="G44" s="13">
        <v>0.03</v>
      </c>
      <c r="H44">
        <v>0.5</v>
      </c>
      <c r="I44">
        <v>0.7</v>
      </c>
      <c r="J44" s="21">
        <v>0.11739313125610351</v>
      </c>
      <c r="K44" s="99">
        <v>0.11650243759155274</v>
      </c>
      <c r="L44" s="21">
        <v>5.4495852440595627E-2</v>
      </c>
      <c r="M44" s="21">
        <v>3.7630453705787659E-2</v>
      </c>
      <c r="N44" s="21">
        <v>0.10448310852050781</v>
      </c>
    </row>
    <row r="45" spans="1:14">
      <c r="A45" t="s">
        <v>140</v>
      </c>
      <c r="B45" t="s">
        <v>141</v>
      </c>
      <c r="C45" t="s">
        <v>142</v>
      </c>
      <c r="D45">
        <v>1.4</v>
      </c>
      <c r="E45">
        <v>0.2</v>
      </c>
      <c r="F45">
        <v>0.85</v>
      </c>
      <c r="G45" s="13">
        <v>0.03</v>
      </c>
      <c r="H45">
        <v>0.5</v>
      </c>
      <c r="I45">
        <v>0.7</v>
      </c>
      <c r="J45" s="21">
        <v>8.476749420166016E-2</v>
      </c>
      <c r="K45" s="99">
        <v>8.8185491561889651E-2</v>
      </c>
      <c r="L45" s="21">
        <v>1.3994412496685982E-2</v>
      </c>
      <c r="M45" s="21">
        <v>1.836746372282505E-2</v>
      </c>
      <c r="N45" s="21">
        <v>0.10902240753173828</v>
      </c>
    </row>
    <row r="46" spans="1:14">
      <c r="A46" t="s">
        <v>143</v>
      </c>
      <c r="B46" t="s">
        <v>144</v>
      </c>
      <c r="C46" t="s">
        <v>145</v>
      </c>
      <c r="D46">
        <v>1.4</v>
      </c>
      <c r="E46">
        <v>0.2</v>
      </c>
      <c r="F46">
        <v>0.85</v>
      </c>
      <c r="G46" s="13">
        <v>0.03</v>
      </c>
      <c r="H46">
        <v>0.5</v>
      </c>
      <c r="I46">
        <v>0.7</v>
      </c>
      <c r="J46" s="21">
        <v>9.903388977050781E-2</v>
      </c>
      <c r="K46" s="99">
        <v>7.9252243041992188E-2</v>
      </c>
      <c r="L46" s="21">
        <v>0.50694948434829712</v>
      </c>
      <c r="M46" s="21">
        <v>2.4428263306617737E-2</v>
      </c>
      <c r="N46" s="21">
        <v>0.10371950149536133</v>
      </c>
    </row>
    <row r="47" spans="1:14">
      <c r="A47" t="s">
        <v>146</v>
      </c>
      <c r="B47" t="s">
        <v>147</v>
      </c>
      <c r="C47" t="s">
        <v>148</v>
      </c>
      <c r="D47">
        <v>1.4</v>
      </c>
      <c r="E47">
        <v>0.2</v>
      </c>
      <c r="F47">
        <v>0.85</v>
      </c>
      <c r="G47" s="13">
        <v>0.03</v>
      </c>
      <c r="H47">
        <v>0.5</v>
      </c>
      <c r="I47">
        <v>0.7</v>
      </c>
      <c r="J47" s="21">
        <v>0.11132793426513672</v>
      </c>
      <c r="K47" s="99">
        <v>0.11139203071594238</v>
      </c>
      <c r="L47" s="21">
        <v>8.3730205893516541E-2</v>
      </c>
      <c r="M47" s="21">
        <v>5.216449499130249E-2</v>
      </c>
      <c r="N47" s="21">
        <v>0.10371950149536133</v>
      </c>
    </row>
    <row r="48" spans="1:14">
      <c r="A48" t="s">
        <v>149</v>
      </c>
      <c r="B48" t="s">
        <v>150</v>
      </c>
      <c r="C48" t="s">
        <v>151</v>
      </c>
      <c r="D48">
        <v>1.3</v>
      </c>
      <c r="E48">
        <v>0.2</v>
      </c>
      <c r="F48">
        <v>0.85</v>
      </c>
      <c r="G48" s="13">
        <v>0.03</v>
      </c>
      <c r="H48">
        <v>0.5</v>
      </c>
      <c r="I48">
        <v>0.7</v>
      </c>
      <c r="J48" s="21">
        <v>8.8869771957397467E-2</v>
      </c>
      <c r="K48" s="99">
        <v>9.6323547363281248E-2</v>
      </c>
      <c r="L48" s="21">
        <v>8.8705467060208321E-3</v>
      </c>
      <c r="M48" s="21">
        <v>7.5869127176702023E-3</v>
      </c>
      <c r="N48" s="21">
        <v>0.10007513046264649</v>
      </c>
    </row>
    <row r="49" spans="1:14">
      <c r="A49" t="s">
        <v>152</v>
      </c>
      <c r="B49" t="s">
        <v>153</v>
      </c>
      <c r="C49" t="s">
        <v>154</v>
      </c>
      <c r="D49">
        <v>1.3</v>
      </c>
      <c r="E49">
        <v>0.2</v>
      </c>
      <c r="F49">
        <v>0.85</v>
      </c>
      <c r="G49" s="13">
        <v>0.03</v>
      </c>
      <c r="H49">
        <v>0.5</v>
      </c>
      <c r="I49">
        <v>0.7</v>
      </c>
      <c r="J49" s="21">
        <v>0.10881499290466308</v>
      </c>
      <c r="K49" s="99">
        <v>0.11256787300109863</v>
      </c>
      <c r="L49" s="21">
        <v>9.1436266899108887E-2</v>
      </c>
      <c r="M49" s="21">
        <v>4.8655193299055099E-2</v>
      </c>
      <c r="N49" s="21">
        <v>0.10287795066833497</v>
      </c>
    </row>
    <row r="50" spans="1:14">
      <c r="A50" t="s">
        <v>155</v>
      </c>
      <c r="B50" t="s">
        <v>156</v>
      </c>
      <c r="C50" t="s">
        <v>157</v>
      </c>
      <c r="D50">
        <v>1.2</v>
      </c>
      <c r="E50">
        <v>0.15</v>
      </c>
      <c r="F50">
        <v>0.85</v>
      </c>
      <c r="G50" s="13">
        <v>0.03</v>
      </c>
      <c r="H50">
        <v>0.5</v>
      </c>
      <c r="I50">
        <v>0.7</v>
      </c>
      <c r="J50" s="21">
        <v>9.7024669647216802E-2</v>
      </c>
      <c r="K50" s="99">
        <v>0.10659695625305175</v>
      </c>
      <c r="L50" s="21">
        <v>-6.0479432344436646E-2</v>
      </c>
      <c r="M50" s="21">
        <v>2.0283230114728212E-3</v>
      </c>
      <c r="N50" s="21">
        <v>0.10501660346984863</v>
      </c>
    </row>
    <row r="51" spans="1:14">
      <c r="A51" t="s">
        <v>158</v>
      </c>
      <c r="B51" t="s">
        <v>159</v>
      </c>
      <c r="C51" t="s">
        <v>160</v>
      </c>
      <c r="D51">
        <v>1.2</v>
      </c>
      <c r="E51">
        <v>0.15</v>
      </c>
      <c r="F51">
        <v>0.85</v>
      </c>
      <c r="G51" s="13">
        <v>0.03</v>
      </c>
      <c r="H51">
        <v>0.5</v>
      </c>
      <c r="I51">
        <v>0.7</v>
      </c>
      <c r="J51" s="21">
        <v>0</v>
      </c>
      <c r="K51" s="99">
        <v>0.10706208229064941</v>
      </c>
      <c r="L51" s="21">
        <v>3.8129203021526337E-2</v>
      </c>
      <c r="M51" s="21">
        <v>2.5518076494336128E-2</v>
      </c>
      <c r="N51" s="21">
        <v>0.10886888504028321</v>
      </c>
    </row>
    <row r="52" spans="1:14">
      <c r="A52" t="s">
        <v>161</v>
      </c>
      <c r="B52" t="s">
        <v>162</v>
      </c>
      <c r="C52" t="s">
        <v>163</v>
      </c>
      <c r="D52">
        <v>1.2</v>
      </c>
      <c r="E52">
        <v>0.15</v>
      </c>
      <c r="F52">
        <v>0.85</v>
      </c>
      <c r="G52" s="13">
        <v>0.03</v>
      </c>
      <c r="H52">
        <v>0.5</v>
      </c>
      <c r="I52">
        <v>0.7</v>
      </c>
      <c r="J52" s="21">
        <v>0.11547192573547363</v>
      </c>
      <c r="K52" s="99">
        <v>0.11690634727478028</v>
      </c>
      <c r="L52" s="21">
        <v>8.5523491725325584E-3</v>
      </c>
      <c r="M52" s="21">
        <v>6.0857622884213924E-3</v>
      </c>
      <c r="N52" s="21">
        <v>0.10886888504028321</v>
      </c>
    </row>
    <row r="53" spans="1:14">
      <c r="A53" t="s">
        <v>164</v>
      </c>
      <c r="B53" t="s">
        <v>165</v>
      </c>
      <c r="C53" t="s">
        <v>166</v>
      </c>
      <c r="D53">
        <v>1.2</v>
      </c>
      <c r="E53">
        <v>0.15</v>
      </c>
      <c r="F53">
        <v>0.85</v>
      </c>
      <c r="G53" s="13">
        <v>0.03</v>
      </c>
      <c r="H53">
        <v>0.5</v>
      </c>
      <c r="I53">
        <v>0.7</v>
      </c>
      <c r="J53" s="21">
        <v>7.068810939788818E-2</v>
      </c>
      <c r="K53" s="99">
        <v>0.10198859214782714</v>
      </c>
      <c r="L53" s="21">
        <v>-2.6412667706608772E-2</v>
      </c>
      <c r="M53" s="21">
        <v>-5.4949959740042686E-3</v>
      </c>
      <c r="N53" s="21">
        <v>9.3466663360595698E-2</v>
      </c>
    </row>
    <row r="54" spans="1:14">
      <c r="A54" t="s">
        <v>167</v>
      </c>
      <c r="B54" t="s">
        <v>168</v>
      </c>
      <c r="C54" t="s">
        <v>169</v>
      </c>
      <c r="D54">
        <v>1.2</v>
      </c>
      <c r="E54">
        <v>0.15</v>
      </c>
      <c r="F54">
        <v>0.85</v>
      </c>
      <c r="G54" s="13">
        <v>0.03</v>
      </c>
      <c r="H54">
        <v>0.5</v>
      </c>
      <c r="I54">
        <v>0.7</v>
      </c>
      <c r="J54" s="21">
        <v>0.10695943832397461</v>
      </c>
      <c r="K54" s="99">
        <v>0.10972380638122559</v>
      </c>
      <c r="L54" s="21">
        <v>1.3411534018814564E-2</v>
      </c>
      <c r="M54" s="21">
        <v>7.327208761125803E-3</v>
      </c>
      <c r="N54" s="21">
        <v>0.10686029434204102</v>
      </c>
    </row>
    <row r="55" spans="1:14">
      <c r="A55" t="s">
        <v>170</v>
      </c>
      <c r="B55" t="s">
        <v>171</v>
      </c>
      <c r="C55" t="s">
        <v>172</v>
      </c>
      <c r="D55">
        <v>1.2</v>
      </c>
      <c r="E55">
        <v>0.15</v>
      </c>
      <c r="F55">
        <v>0.85</v>
      </c>
      <c r="G55" s="13">
        <v>0.03</v>
      </c>
      <c r="H55">
        <v>0.5</v>
      </c>
      <c r="I55">
        <v>0.7</v>
      </c>
      <c r="J55" s="21">
        <v>0.16136430740356444</v>
      </c>
      <c r="K55" s="99">
        <v>0.1193235969543457</v>
      </c>
      <c r="L55" s="21">
        <v>8.6192920804023743E-2</v>
      </c>
      <c r="M55" s="21">
        <v>3.4344073385000229E-2</v>
      </c>
      <c r="N55" s="21">
        <v>0.10939556121826172</v>
      </c>
    </row>
    <row r="56" spans="1:14">
      <c r="A56" t="s">
        <v>173</v>
      </c>
      <c r="B56" t="s">
        <v>174</v>
      </c>
      <c r="C56" t="s">
        <v>175</v>
      </c>
      <c r="D56">
        <v>1.2</v>
      </c>
      <c r="E56">
        <v>0.15</v>
      </c>
      <c r="F56">
        <v>0.85</v>
      </c>
      <c r="G56" s="13">
        <v>0.03</v>
      </c>
      <c r="H56">
        <v>0.5</v>
      </c>
      <c r="I56">
        <v>0.7</v>
      </c>
      <c r="J56" s="21">
        <v>0.17943962097167968</v>
      </c>
      <c r="K56" s="99">
        <v>0.12432611465454102</v>
      </c>
      <c r="L56" s="21">
        <v>4.8891894519329071E-2</v>
      </c>
      <c r="M56" s="21">
        <v>3.7063091993331909E-2</v>
      </c>
      <c r="N56" s="21">
        <v>0.10939556121826172</v>
      </c>
    </row>
    <row r="57" spans="1:14">
      <c r="A57" t="s">
        <v>176</v>
      </c>
      <c r="B57" t="s">
        <v>177</v>
      </c>
      <c r="C57" t="s">
        <v>178</v>
      </c>
      <c r="D57">
        <v>1.3</v>
      </c>
      <c r="E57">
        <v>0.2</v>
      </c>
      <c r="F57">
        <v>0.85</v>
      </c>
      <c r="G57" s="13">
        <v>0.03</v>
      </c>
      <c r="H57">
        <v>0.5</v>
      </c>
      <c r="I57">
        <v>0.7</v>
      </c>
      <c r="J57" s="21">
        <v>9.3083162307739262E-2</v>
      </c>
      <c r="K57" s="99">
        <v>8.4511375427246099E-2</v>
      </c>
      <c r="L57" s="21">
        <v>-6.2944523990154266E-2</v>
      </c>
      <c r="M57" s="21">
        <v>-2.3812701925635338E-2</v>
      </c>
      <c r="N57" s="21">
        <v>0.10444073677062989</v>
      </c>
    </row>
    <row r="58" spans="1:14">
      <c r="A58" t="s">
        <v>179</v>
      </c>
      <c r="B58" t="s">
        <v>180</v>
      </c>
      <c r="C58" t="s">
        <v>181</v>
      </c>
      <c r="D58">
        <v>1.3</v>
      </c>
      <c r="E58">
        <v>0.2</v>
      </c>
      <c r="F58">
        <v>0.85</v>
      </c>
      <c r="G58" s="13">
        <v>0.03</v>
      </c>
      <c r="H58">
        <v>0.5</v>
      </c>
      <c r="I58">
        <v>0.7</v>
      </c>
      <c r="J58" s="21">
        <v>0.10718383789062499</v>
      </c>
      <c r="K58" s="99">
        <v>0.11136742591857911</v>
      </c>
      <c r="L58" s="21">
        <v>8.0671444535255432E-2</v>
      </c>
      <c r="M58" s="21">
        <v>2.8445640578866005E-2</v>
      </c>
      <c r="N58" s="21">
        <v>0.10849340438842774</v>
      </c>
    </row>
    <row r="59" spans="1:14">
      <c r="A59" t="s">
        <v>182</v>
      </c>
      <c r="B59" t="s">
        <v>183</v>
      </c>
      <c r="C59" t="s">
        <v>184</v>
      </c>
      <c r="D59">
        <v>1.2</v>
      </c>
      <c r="E59">
        <v>0.15</v>
      </c>
      <c r="F59">
        <v>0.85</v>
      </c>
      <c r="G59" s="13">
        <v>0.03</v>
      </c>
      <c r="H59">
        <v>0.5</v>
      </c>
      <c r="I59">
        <v>0.7</v>
      </c>
      <c r="J59" s="21">
        <v>8.426623344421387E-2</v>
      </c>
      <c r="K59" s="99">
        <v>0.12191568374633789</v>
      </c>
      <c r="L59" s="21">
        <v>3.1387999653816223E-2</v>
      </c>
      <c r="M59" s="21">
        <v>-4.0023154579102993E-3</v>
      </c>
      <c r="N59" s="21">
        <v>0.13508922576904298</v>
      </c>
    </row>
    <row r="60" spans="1:14">
      <c r="A60" t="s">
        <v>185</v>
      </c>
      <c r="B60" t="s">
        <v>186</v>
      </c>
      <c r="C60" t="s">
        <v>187</v>
      </c>
      <c r="D60">
        <v>1.3</v>
      </c>
      <c r="E60">
        <v>0.2</v>
      </c>
      <c r="F60">
        <v>0.85</v>
      </c>
      <c r="G60" s="13">
        <v>0.03</v>
      </c>
      <c r="H60">
        <v>0.5</v>
      </c>
      <c r="I60">
        <v>0.7</v>
      </c>
      <c r="J60" s="21">
        <v>9.5217180252075193E-2</v>
      </c>
      <c r="K60" s="99">
        <v>9.1393194198608405E-2</v>
      </c>
      <c r="L60" s="21">
        <v>1.7192406579852104E-2</v>
      </c>
      <c r="M60" s="21">
        <v>1.1755399405956268E-2</v>
      </c>
      <c r="N60" s="21">
        <v>8.6780681610107421E-2</v>
      </c>
    </row>
    <row r="61" spans="1:14">
      <c r="A61" t="s">
        <v>188</v>
      </c>
      <c r="B61" t="s">
        <v>189</v>
      </c>
      <c r="C61" t="s">
        <v>190</v>
      </c>
      <c r="D61">
        <v>1.3</v>
      </c>
      <c r="E61">
        <v>0.2</v>
      </c>
      <c r="F61">
        <v>0.85</v>
      </c>
      <c r="G61" s="13">
        <v>0.03</v>
      </c>
      <c r="H61">
        <v>0.5</v>
      </c>
      <c r="I61">
        <v>0.7</v>
      </c>
      <c r="J61" s="21">
        <v>0.11659308433532715</v>
      </c>
      <c r="K61" s="99">
        <v>0.11739181518554688</v>
      </c>
      <c r="L61" s="21">
        <v>1.7192406579852104E-2</v>
      </c>
      <c r="M61" s="21">
        <v>1.1755399405956268E-2</v>
      </c>
      <c r="N61" s="21">
        <v>0.10718856811523438</v>
      </c>
    </row>
    <row r="62" spans="1:14">
      <c r="A62" t="s">
        <v>191</v>
      </c>
      <c r="B62" t="s">
        <v>192</v>
      </c>
      <c r="C62" t="s">
        <v>193</v>
      </c>
      <c r="D62">
        <v>1.2</v>
      </c>
      <c r="E62">
        <v>0.15</v>
      </c>
      <c r="F62">
        <v>0.85</v>
      </c>
      <c r="G62" s="13">
        <v>0.03</v>
      </c>
      <c r="H62">
        <v>0.5</v>
      </c>
      <c r="I62">
        <v>0.7</v>
      </c>
      <c r="J62" s="21">
        <v>0.1091711711883545</v>
      </c>
      <c r="K62" s="99">
        <v>0.11922654151916504</v>
      </c>
      <c r="L62" s="21">
        <v>0.11810478568077087</v>
      </c>
      <c r="M62" s="21">
        <v>6.6121287643909454E-2</v>
      </c>
      <c r="N62" s="21">
        <v>0.11015592575073242</v>
      </c>
    </row>
    <row r="63" spans="1:14">
      <c r="A63" t="s">
        <v>194</v>
      </c>
      <c r="B63" t="s">
        <v>195</v>
      </c>
      <c r="C63" t="s">
        <v>196</v>
      </c>
      <c r="D63">
        <v>1.3</v>
      </c>
      <c r="E63">
        <v>0.2</v>
      </c>
      <c r="F63">
        <v>0.85</v>
      </c>
      <c r="G63" s="13">
        <v>0.03</v>
      </c>
      <c r="H63">
        <v>0.5</v>
      </c>
      <c r="I63">
        <v>0.7</v>
      </c>
      <c r="J63" s="21">
        <v>9.6970930099487304E-2</v>
      </c>
      <c r="K63" s="99">
        <v>0.10037034988403321</v>
      </c>
      <c r="L63" s="21">
        <v>8.8709123432636261E-2</v>
      </c>
      <c r="M63" s="21">
        <v>3.4089624881744385E-2</v>
      </c>
      <c r="N63" s="21">
        <v>0.10499666213989257</v>
      </c>
    </row>
    <row r="64" spans="1:14">
      <c r="A64" t="s">
        <v>197</v>
      </c>
      <c r="B64" t="s">
        <v>198</v>
      </c>
      <c r="C64" t="s">
        <v>199</v>
      </c>
      <c r="D64">
        <v>1.3</v>
      </c>
      <c r="E64">
        <v>0.2</v>
      </c>
      <c r="F64">
        <v>0.85</v>
      </c>
      <c r="G64" s="13">
        <v>0.03</v>
      </c>
      <c r="H64">
        <v>0.5</v>
      </c>
      <c r="I64">
        <v>0.7</v>
      </c>
      <c r="J64" s="21">
        <v>8.1443767547607418E-2</v>
      </c>
      <c r="K64" s="99">
        <v>7.946273326873779E-2</v>
      </c>
      <c r="L64" s="21">
        <v>8.8709123432636261E-2</v>
      </c>
      <c r="M64" s="21">
        <v>3.4089624881744385E-2</v>
      </c>
      <c r="N64" s="21">
        <v>0.10499666213989257</v>
      </c>
    </row>
    <row r="65" spans="1:14">
      <c r="A65" t="s">
        <v>200</v>
      </c>
      <c r="B65" t="s">
        <v>201</v>
      </c>
      <c r="C65" t="s">
        <v>202</v>
      </c>
      <c r="D65">
        <v>1.3</v>
      </c>
      <c r="E65">
        <v>0.2</v>
      </c>
      <c r="F65">
        <v>0.85</v>
      </c>
      <c r="G65" s="13">
        <v>0.03</v>
      </c>
      <c r="H65">
        <v>0.5</v>
      </c>
      <c r="I65">
        <v>0.7</v>
      </c>
      <c r="J65" s="21">
        <v>0</v>
      </c>
      <c r="K65" s="99">
        <v>0</v>
      </c>
      <c r="L65" s="21">
        <v>1.7357612028717995E-2</v>
      </c>
      <c r="M65" s="21">
        <v>9.8270680755376816E-3</v>
      </c>
      <c r="N65" s="21">
        <v>0.11609999656677246</v>
      </c>
    </row>
    <row r="66" spans="1:14">
      <c r="A66" t="s">
        <v>203</v>
      </c>
      <c r="B66" t="s">
        <v>204</v>
      </c>
      <c r="C66" t="s">
        <v>205</v>
      </c>
      <c r="D66">
        <v>1.3</v>
      </c>
      <c r="E66">
        <v>0.2</v>
      </c>
      <c r="F66">
        <v>0.85</v>
      </c>
      <c r="G66" s="13">
        <v>0.03</v>
      </c>
      <c r="H66">
        <v>0.5</v>
      </c>
      <c r="I66">
        <v>0.7</v>
      </c>
      <c r="J66" s="21">
        <v>0.10760234832763672</v>
      </c>
      <c r="K66" s="99">
        <v>0.11410483360290527</v>
      </c>
      <c r="L66" s="21">
        <v>5.0241025164723396E-3</v>
      </c>
      <c r="M66" s="21">
        <v>2.3567227181047201E-3</v>
      </c>
      <c r="N66" s="21">
        <v>0.10966888427734375</v>
      </c>
    </row>
    <row r="67" spans="1:14">
      <c r="A67" t="s">
        <v>206</v>
      </c>
      <c r="B67" t="s">
        <v>207</v>
      </c>
      <c r="C67" t="s">
        <v>208</v>
      </c>
      <c r="D67">
        <v>1.3</v>
      </c>
      <c r="E67">
        <v>0.2</v>
      </c>
      <c r="F67">
        <v>0.85</v>
      </c>
      <c r="G67" s="13">
        <v>0.03</v>
      </c>
      <c r="H67">
        <v>0.5</v>
      </c>
      <c r="I67">
        <v>0.7</v>
      </c>
      <c r="J67" s="21">
        <v>0.12296447753906251</v>
      </c>
      <c r="K67" s="99">
        <v>0.12386878967285156</v>
      </c>
      <c r="L67" s="21">
        <v>1.5076469630002975E-2</v>
      </c>
      <c r="M67" s="21">
        <v>1.2599034234881401E-2</v>
      </c>
      <c r="N67" s="21">
        <v>0.10373224258422852</v>
      </c>
    </row>
    <row r="68" spans="1:14">
      <c r="A68" t="s">
        <v>209</v>
      </c>
      <c r="B68" t="s">
        <v>210</v>
      </c>
      <c r="C68" t="s">
        <v>211</v>
      </c>
      <c r="D68">
        <v>1.3</v>
      </c>
      <c r="E68">
        <v>0.2</v>
      </c>
      <c r="F68">
        <v>0.85</v>
      </c>
      <c r="G68" s="13">
        <v>0.03</v>
      </c>
      <c r="H68">
        <v>0.5</v>
      </c>
      <c r="I68">
        <v>0.7</v>
      </c>
      <c r="J68" s="21">
        <v>0.10364470481872559</v>
      </c>
      <c r="K68" s="99">
        <v>0.10453518867492675</v>
      </c>
      <c r="L68" s="21">
        <v>1.0811295360326767E-3</v>
      </c>
      <c r="M68" s="21">
        <v>5.3523428505286574E-4</v>
      </c>
      <c r="N68" s="21">
        <v>0.11342377662658691</v>
      </c>
    </row>
    <row r="69" spans="1:14">
      <c r="A69" t="s">
        <v>212</v>
      </c>
      <c r="B69" t="s">
        <v>213</v>
      </c>
      <c r="C69" t="s">
        <v>214</v>
      </c>
      <c r="D69">
        <v>1.3</v>
      </c>
      <c r="E69">
        <v>0.2</v>
      </c>
      <c r="F69">
        <v>0.85</v>
      </c>
      <c r="G69" s="13">
        <v>0.03</v>
      </c>
      <c r="H69">
        <v>0.5</v>
      </c>
      <c r="I69">
        <v>0.7</v>
      </c>
      <c r="J69" s="21">
        <v>0.10502187728881836</v>
      </c>
      <c r="K69" s="99">
        <v>0.11208365440368652</v>
      </c>
      <c r="L69" s="21">
        <v>1.2838935479521751E-2</v>
      </c>
      <c r="M69" s="21">
        <v>5.1910839974880219E-3</v>
      </c>
      <c r="N69" s="21">
        <v>0.10285569190979003</v>
      </c>
    </row>
    <row r="70" spans="1:14">
      <c r="A70" t="s">
        <v>215</v>
      </c>
      <c r="B70" t="s">
        <v>216</v>
      </c>
      <c r="C70" t="s">
        <v>217</v>
      </c>
      <c r="D70">
        <v>1.3</v>
      </c>
      <c r="E70">
        <v>0.2</v>
      </c>
      <c r="F70">
        <v>0.85</v>
      </c>
      <c r="G70" s="13">
        <v>0.03</v>
      </c>
      <c r="H70">
        <v>0.5</v>
      </c>
      <c r="I70">
        <v>0.7</v>
      </c>
      <c r="J70" s="21">
        <v>0.10080859184265137</v>
      </c>
      <c r="K70" s="99">
        <v>0.1073366355895996</v>
      </c>
      <c r="L70" s="21">
        <v>3.1830102205276489E-2</v>
      </c>
      <c r="M70" s="21">
        <v>1.8753521144390106E-2</v>
      </c>
      <c r="N70" s="21">
        <v>9.0143804550170903E-2</v>
      </c>
    </row>
    <row r="71" spans="1:14">
      <c r="A71" t="s">
        <v>218</v>
      </c>
      <c r="B71" t="s">
        <v>219</v>
      </c>
      <c r="C71" t="s">
        <v>220</v>
      </c>
      <c r="D71">
        <v>1.3</v>
      </c>
      <c r="E71">
        <v>0.2</v>
      </c>
      <c r="F71">
        <v>0.85</v>
      </c>
      <c r="G71" s="13">
        <v>0.03</v>
      </c>
      <c r="H71">
        <v>0.5</v>
      </c>
      <c r="I71">
        <v>0.7</v>
      </c>
      <c r="J71" s="21">
        <v>0.10931076049804687</v>
      </c>
      <c r="K71" s="99">
        <v>0.10889632225036622</v>
      </c>
      <c r="L71" s="21">
        <v>0.13629233837127686</v>
      </c>
      <c r="M71" s="21">
        <v>5.6526415050029755E-2</v>
      </c>
      <c r="N71" s="21">
        <v>0.1102803897857666</v>
      </c>
    </row>
    <row r="72" spans="1:14">
      <c r="A72" t="s">
        <v>221</v>
      </c>
      <c r="B72" t="s">
        <v>222</v>
      </c>
      <c r="C72" t="s">
        <v>223</v>
      </c>
      <c r="D72">
        <v>1.3</v>
      </c>
      <c r="E72">
        <v>0.2</v>
      </c>
      <c r="F72">
        <v>0.85</v>
      </c>
      <c r="G72" s="13">
        <v>0.03</v>
      </c>
      <c r="H72">
        <v>0.5</v>
      </c>
      <c r="I72">
        <v>0.7</v>
      </c>
      <c r="J72" s="21">
        <v>9.8555021286010736E-2</v>
      </c>
      <c r="K72" s="99">
        <v>8.8097162246704108E-2</v>
      </c>
      <c r="L72" s="21">
        <v>-1.6972617013379931E-3</v>
      </c>
      <c r="M72" s="21">
        <v>-6.914218538440764E-4</v>
      </c>
      <c r="N72" s="21">
        <v>0.10305000305175781</v>
      </c>
    </row>
    <row r="73" spans="1:14">
      <c r="A73" t="s">
        <v>224</v>
      </c>
      <c r="B73" t="s">
        <v>225</v>
      </c>
      <c r="C73" t="s">
        <v>226</v>
      </c>
      <c r="D73">
        <v>1.3</v>
      </c>
      <c r="E73">
        <v>0.2</v>
      </c>
      <c r="F73">
        <v>0.85</v>
      </c>
      <c r="G73" s="13">
        <v>0.03</v>
      </c>
      <c r="H73">
        <v>0.5</v>
      </c>
      <c r="I73">
        <v>0.7</v>
      </c>
      <c r="J73" s="21">
        <v>8.152585983276367E-2</v>
      </c>
      <c r="K73" s="99">
        <v>7.6497311592102046E-2</v>
      </c>
      <c r="L73" s="21">
        <v>0.20488178730010986</v>
      </c>
      <c r="M73" s="21">
        <v>4.4067241251468658E-2</v>
      </c>
      <c r="N73" s="21">
        <v>8.5834722518920895E-2</v>
      </c>
    </row>
    <row r="74" spans="1:14">
      <c r="A74" t="s">
        <v>227</v>
      </c>
      <c r="B74" t="s">
        <v>228</v>
      </c>
      <c r="C74" t="s">
        <v>229</v>
      </c>
      <c r="D74">
        <v>1.3</v>
      </c>
      <c r="E74">
        <v>0.2</v>
      </c>
      <c r="F74">
        <v>0.85</v>
      </c>
      <c r="G74" s="13">
        <v>0.03</v>
      </c>
      <c r="H74">
        <v>0.5</v>
      </c>
      <c r="I74">
        <v>0.7</v>
      </c>
      <c r="J74" s="21">
        <v>0.11731478691101074</v>
      </c>
      <c r="K74" s="99">
        <v>0.11778820037841797</v>
      </c>
      <c r="L74" s="21">
        <v>5.8189980685710907E-2</v>
      </c>
      <c r="M74" s="21">
        <v>3.6263741552829742E-2</v>
      </c>
      <c r="N74" s="21">
        <v>0.11459598541259766</v>
      </c>
    </row>
    <row r="75" spans="1:14">
      <c r="A75" t="s">
        <v>230</v>
      </c>
      <c r="B75" t="s">
        <v>231</v>
      </c>
      <c r="C75" t="s">
        <v>232</v>
      </c>
      <c r="D75">
        <v>1.3</v>
      </c>
      <c r="E75">
        <v>0.2</v>
      </c>
      <c r="F75">
        <v>0.85</v>
      </c>
      <c r="G75" s="13">
        <v>0.03</v>
      </c>
      <c r="H75">
        <v>0.5</v>
      </c>
      <c r="I75">
        <v>0.7</v>
      </c>
      <c r="J75" s="21">
        <v>8.9972000122070309E-2</v>
      </c>
      <c r="K75" s="99">
        <v>0.10179686546325684</v>
      </c>
      <c r="L75" s="21">
        <v>2.7187973260879517E-2</v>
      </c>
      <c r="M75" s="21">
        <v>1.6357872635126114E-2</v>
      </c>
      <c r="N75" s="21">
        <v>3.3195123672485352E-2</v>
      </c>
    </row>
    <row r="76" spans="1:14">
      <c r="A76" t="s">
        <v>233</v>
      </c>
      <c r="B76" t="s">
        <v>234</v>
      </c>
      <c r="C76" t="s">
        <v>235</v>
      </c>
      <c r="D76">
        <v>1.3</v>
      </c>
      <c r="E76">
        <v>0.2</v>
      </c>
      <c r="F76">
        <v>0.85</v>
      </c>
      <c r="G76" s="13">
        <v>0.03</v>
      </c>
      <c r="H76">
        <v>0.5</v>
      </c>
      <c r="I76">
        <v>0.7</v>
      </c>
      <c r="J76" s="21">
        <v>0.17260271072387695</v>
      </c>
      <c r="K76" s="99">
        <v>0.13097113609313965</v>
      </c>
      <c r="L76" s="21">
        <v>1.2720383703708649E-2</v>
      </c>
      <c r="M76" s="21">
        <v>8.9323325082659721E-3</v>
      </c>
      <c r="N76" s="21">
        <v>0.10832616806030274</v>
      </c>
    </row>
    <row r="77" spans="1:14">
      <c r="A77" t="s">
        <v>236</v>
      </c>
      <c r="B77" t="s">
        <v>237</v>
      </c>
      <c r="C77" t="s">
        <v>238</v>
      </c>
      <c r="D77">
        <v>1.3</v>
      </c>
      <c r="E77">
        <v>0.2</v>
      </c>
      <c r="F77">
        <v>0.85</v>
      </c>
      <c r="G77" s="13">
        <v>0.03</v>
      </c>
      <c r="H77">
        <v>0.5</v>
      </c>
      <c r="I77">
        <v>0.7</v>
      </c>
      <c r="J77" s="21">
        <v>0.11505161285400391</v>
      </c>
      <c r="K77" s="99">
        <v>0.11646197319030761</v>
      </c>
      <c r="L77" s="21">
        <v>3.790472075343132E-2</v>
      </c>
      <c r="M77" s="21">
        <v>2.68370620906353E-2</v>
      </c>
      <c r="N77" s="21">
        <v>0.10832616806030274</v>
      </c>
    </row>
    <row r="78" spans="1:14">
      <c r="A78" t="s">
        <v>239</v>
      </c>
      <c r="B78" t="s">
        <v>240</v>
      </c>
      <c r="C78" t="s">
        <v>241</v>
      </c>
      <c r="D78">
        <v>1.3</v>
      </c>
      <c r="E78">
        <v>0.2</v>
      </c>
      <c r="F78">
        <v>0.85</v>
      </c>
      <c r="G78" s="13">
        <v>0.03</v>
      </c>
      <c r="H78">
        <v>0.5</v>
      </c>
      <c r="I78">
        <v>0.7</v>
      </c>
      <c r="J78" s="21">
        <v>0.10388256072998046</v>
      </c>
      <c r="K78" s="99">
        <v>0.10755969047546386</v>
      </c>
      <c r="L78" s="21">
        <v>9.7350627183914185E-2</v>
      </c>
      <c r="M78" s="21">
        <v>5.0361223518848419E-2</v>
      </c>
      <c r="N78" s="21">
        <v>8.889153480529785E-2</v>
      </c>
    </row>
    <row r="79" spans="1:14">
      <c r="A79" t="s">
        <v>242</v>
      </c>
      <c r="B79" t="s">
        <v>243</v>
      </c>
      <c r="C79" t="s">
        <v>244</v>
      </c>
      <c r="D79">
        <v>1.3</v>
      </c>
      <c r="E79">
        <v>0.2</v>
      </c>
      <c r="F79">
        <v>0.85</v>
      </c>
      <c r="G79" s="13">
        <v>0.03</v>
      </c>
      <c r="H79">
        <v>0.5</v>
      </c>
      <c r="I79">
        <v>0.7</v>
      </c>
      <c r="J79" s="21">
        <v>9.6365909576416012E-2</v>
      </c>
      <c r="K79" s="99">
        <v>0.10919927597045899</v>
      </c>
      <c r="L79" s="21">
        <v>4.5351564884185791E-2</v>
      </c>
      <c r="M79" s="21">
        <v>1.7733199521899223E-2</v>
      </c>
      <c r="N79" s="21">
        <v>9.9412908554077153E-2</v>
      </c>
    </row>
    <row r="80" spans="1:14">
      <c r="A80" t="s">
        <v>245</v>
      </c>
      <c r="B80" t="s">
        <v>246</v>
      </c>
      <c r="C80" t="s">
        <v>247</v>
      </c>
      <c r="D80">
        <v>1.3</v>
      </c>
      <c r="E80">
        <v>0.2</v>
      </c>
      <c r="F80">
        <v>0.85</v>
      </c>
      <c r="G80" s="13">
        <v>0.03</v>
      </c>
      <c r="H80">
        <v>0.5</v>
      </c>
      <c r="I80">
        <v>0.7</v>
      </c>
      <c r="J80" s="21">
        <v>0.10881606101989746</v>
      </c>
      <c r="K80" s="99">
        <v>0.11410282135009765</v>
      </c>
      <c r="L80" s="21">
        <v>1.9585775211453438E-2</v>
      </c>
      <c r="M80" s="21">
        <v>8.4649305790662766E-3</v>
      </c>
      <c r="N80" s="21">
        <v>0.12122783660888672</v>
      </c>
    </row>
    <row r="81" spans="1:14">
      <c r="A81" t="s">
        <v>248</v>
      </c>
      <c r="B81" t="s">
        <v>249</v>
      </c>
      <c r="C81" t="s">
        <v>250</v>
      </c>
      <c r="D81">
        <v>1.3</v>
      </c>
      <c r="E81">
        <v>0.2</v>
      </c>
      <c r="F81">
        <v>0.85</v>
      </c>
      <c r="G81" s="13">
        <v>0.03</v>
      </c>
      <c r="H81">
        <v>0.5</v>
      </c>
      <c r="I81">
        <v>0.7</v>
      </c>
      <c r="J81" s="21">
        <v>0.14612675666809083</v>
      </c>
      <c r="K81" s="99">
        <v>0.1287169075012207</v>
      </c>
      <c r="L81" s="21">
        <v>5.1321268081665039E-2</v>
      </c>
      <c r="M81" s="21">
        <v>4.4063355773687363E-2</v>
      </c>
      <c r="N81" s="21">
        <v>0.10637113571166992</v>
      </c>
    </row>
    <row r="82" spans="1:14">
      <c r="A82" t="s">
        <v>251</v>
      </c>
      <c r="B82" t="s">
        <v>252</v>
      </c>
      <c r="C82" t="s">
        <v>253</v>
      </c>
      <c r="D82">
        <v>1.3</v>
      </c>
      <c r="E82">
        <v>0.2</v>
      </c>
      <c r="F82">
        <v>0.85</v>
      </c>
      <c r="G82" s="13">
        <v>0.03</v>
      </c>
      <c r="H82">
        <v>0.5</v>
      </c>
      <c r="I82">
        <v>0.7</v>
      </c>
      <c r="J82" s="21">
        <v>0.10507781982421875</v>
      </c>
      <c r="K82" s="99">
        <v>0.11108918190002441</v>
      </c>
      <c r="L82" s="21">
        <v>6.174890324473381E-2</v>
      </c>
      <c r="M82" s="21">
        <v>3.1920250505208969E-2</v>
      </c>
      <c r="N82" s="21">
        <v>0.10039517402648926</v>
      </c>
    </row>
    <row r="83" spans="1:14">
      <c r="A83" t="s">
        <v>254</v>
      </c>
      <c r="B83" t="s">
        <v>255</v>
      </c>
      <c r="C83" t="s">
        <v>256</v>
      </c>
      <c r="D83">
        <v>1.3</v>
      </c>
      <c r="E83">
        <v>0.2</v>
      </c>
      <c r="F83">
        <v>0.85</v>
      </c>
      <c r="G83" s="13">
        <v>0.03</v>
      </c>
      <c r="H83">
        <v>0.5</v>
      </c>
      <c r="I83">
        <v>0.7</v>
      </c>
      <c r="J83" s="21">
        <v>0.11028800010681153</v>
      </c>
      <c r="K83" s="99">
        <v>0.10987998008728027</v>
      </c>
      <c r="L83" s="21">
        <v>5.5755104869604111E-2</v>
      </c>
      <c r="M83" s="21">
        <v>3.2696500420570374E-2</v>
      </c>
      <c r="N83" s="21">
        <v>0.10698511123657227</v>
      </c>
    </row>
    <row r="84" spans="1:14">
      <c r="A84" t="s">
        <v>257</v>
      </c>
      <c r="B84" t="s">
        <v>258</v>
      </c>
      <c r="C84" t="s">
        <v>259</v>
      </c>
      <c r="D84">
        <v>1.6</v>
      </c>
      <c r="E84">
        <v>0.1</v>
      </c>
      <c r="F84">
        <v>0.85</v>
      </c>
      <c r="G84" s="13">
        <v>0.03</v>
      </c>
      <c r="H84">
        <v>0.5</v>
      </c>
      <c r="I84">
        <v>0.7</v>
      </c>
      <c r="J84" s="21">
        <v>9.0462598800659183E-2</v>
      </c>
      <c r="K84" s="99">
        <v>0.10186756134033204</v>
      </c>
      <c r="L84" s="21">
        <v>3.1518504023551941E-2</v>
      </c>
      <c r="M84" s="21">
        <v>6.6834939643740654E-3</v>
      </c>
      <c r="N84" s="21">
        <v>9.3516712188720708E-2</v>
      </c>
    </row>
    <row r="85" spans="1:14">
      <c r="A85" t="s">
        <v>260</v>
      </c>
      <c r="B85" t="s">
        <v>261</v>
      </c>
      <c r="C85" t="s">
        <v>262</v>
      </c>
      <c r="D85">
        <v>1.3</v>
      </c>
      <c r="E85">
        <v>0.2</v>
      </c>
      <c r="F85">
        <v>0.85</v>
      </c>
      <c r="G85" s="13">
        <v>0.03</v>
      </c>
      <c r="H85">
        <v>0.5</v>
      </c>
      <c r="I85">
        <v>0.7</v>
      </c>
      <c r="J85" s="21">
        <v>9.6550760269165037E-2</v>
      </c>
      <c r="K85" s="99">
        <v>0.10266999244689941</v>
      </c>
      <c r="L85" s="21">
        <v>2.2789077833294868E-2</v>
      </c>
      <c r="M85" s="21">
        <v>9.9581563845276833E-3</v>
      </c>
      <c r="N85" s="21">
        <v>9.0023241043090826E-2</v>
      </c>
    </row>
    <row r="86" spans="1:14">
      <c r="A86" t="s">
        <v>263</v>
      </c>
      <c r="B86" t="s">
        <v>264</v>
      </c>
      <c r="C86" t="s">
        <v>265</v>
      </c>
      <c r="D86">
        <v>1.3</v>
      </c>
      <c r="E86">
        <v>0.2</v>
      </c>
      <c r="F86">
        <v>0.85</v>
      </c>
      <c r="G86" s="13">
        <v>0.03</v>
      </c>
      <c r="H86">
        <v>0.5</v>
      </c>
      <c r="I86">
        <v>0.7</v>
      </c>
      <c r="J86" s="21">
        <v>9.6143913269042966E-2</v>
      </c>
      <c r="K86" s="99">
        <v>9.9233942031860353E-2</v>
      </c>
      <c r="L86" s="21">
        <v>2.7030382305383682E-2</v>
      </c>
      <c r="M86" s="21">
        <v>1.3227174058556557E-2</v>
      </c>
      <c r="N86" s="21">
        <v>9.5618276596069335E-2</v>
      </c>
    </row>
    <row r="87" spans="1:14">
      <c r="A87" t="s">
        <v>266</v>
      </c>
      <c r="B87" t="s">
        <v>267</v>
      </c>
      <c r="C87" t="s">
        <v>268</v>
      </c>
      <c r="D87">
        <v>1.3</v>
      </c>
      <c r="E87">
        <v>0.2</v>
      </c>
      <c r="F87">
        <v>0.85</v>
      </c>
      <c r="G87" s="13">
        <v>0.03</v>
      </c>
      <c r="H87">
        <v>0.5</v>
      </c>
      <c r="I87">
        <v>0.7</v>
      </c>
      <c r="J87" s="21">
        <v>9.0546655654907229E-2</v>
      </c>
      <c r="K87" s="99">
        <v>9.3563337326049809E-2</v>
      </c>
      <c r="L87" s="21">
        <v>1.2253722175955772E-2</v>
      </c>
      <c r="M87" s="21">
        <v>4.2115538381040096E-3</v>
      </c>
      <c r="N87" s="21">
        <v>9.9099082946777342E-2</v>
      </c>
    </row>
    <row r="88" spans="1:14">
      <c r="A88" t="s">
        <v>269</v>
      </c>
      <c r="B88" t="s">
        <v>270</v>
      </c>
      <c r="C88" t="s">
        <v>271</v>
      </c>
      <c r="D88">
        <v>1.3</v>
      </c>
      <c r="E88">
        <v>0.2</v>
      </c>
      <c r="F88">
        <v>0.85</v>
      </c>
      <c r="G88" s="13">
        <v>0.03</v>
      </c>
      <c r="H88">
        <v>0.5</v>
      </c>
      <c r="I88">
        <v>0.7</v>
      </c>
      <c r="J88" s="21">
        <v>0.11603286743164062</v>
      </c>
      <c r="K88" s="99">
        <v>9.9474601745605462E-2</v>
      </c>
      <c r="L88" s="21">
        <v>-0.10031063854694366</v>
      </c>
      <c r="M88" s="21">
        <v>-1.4054765924811363E-2</v>
      </c>
      <c r="N88" s="21">
        <v>9.9099082946777342E-2</v>
      </c>
    </row>
    <row r="89" spans="1:14">
      <c r="A89" t="s">
        <v>272</v>
      </c>
      <c r="B89" t="s">
        <v>273</v>
      </c>
      <c r="C89" t="s">
        <v>274</v>
      </c>
      <c r="D89">
        <v>1.3</v>
      </c>
      <c r="E89">
        <v>0.2</v>
      </c>
      <c r="F89">
        <v>0.85</v>
      </c>
      <c r="G89" s="13">
        <v>0.03</v>
      </c>
      <c r="H89">
        <v>0.5</v>
      </c>
      <c r="I89">
        <v>0.7</v>
      </c>
      <c r="J89" s="21">
        <v>0.10665910720825195</v>
      </c>
      <c r="K89" s="99">
        <v>0.11493642807006836</v>
      </c>
      <c r="L89" s="21">
        <v>9.5454208552837372E-2</v>
      </c>
      <c r="M89" s="21">
        <v>4.1149314492940903E-2</v>
      </c>
      <c r="N89" s="21">
        <v>0.10067992210388184</v>
      </c>
    </row>
    <row r="90" spans="1:14">
      <c r="A90" t="s">
        <v>275</v>
      </c>
      <c r="B90" t="s">
        <v>276</v>
      </c>
      <c r="C90" t="s">
        <v>277</v>
      </c>
      <c r="D90">
        <v>1.3</v>
      </c>
      <c r="E90">
        <v>0.2</v>
      </c>
      <c r="F90">
        <v>0.85</v>
      </c>
      <c r="G90" s="13">
        <v>0.03</v>
      </c>
      <c r="H90">
        <v>0.5</v>
      </c>
      <c r="I90">
        <v>0.7</v>
      </c>
      <c r="J90" s="21">
        <v>9.889962196350098E-2</v>
      </c>
      <c r="K90" s="99">
        <v>0.10524003028869629</v>
      </c>
      <c r="L90" s="21">
        <v>4.3296612799167633E-2</v>
      </c>
      <c r="M90" s="21">
        <v>1.1136529035866261E-2</v>
      </c>
      <c r="N90" s="21">
        <v>0.1151605224609375</v>
      </c>
    </row>
    <row r="91" spans="1:14">
      <c r="A91" t="s">
        <v>278</v>
      </c>
      <c r="B91" t="s">
        <v>279</v>
      </c>
      <c r="C91" t="s">
        <v>280</v>
      </c>
      <c r="D91">
        <v>1.3</v>
      </c>
      <c r="E91">
        <v>0.2</v>
      </c>
      <c r="F91">
        <v>0.85</v>
      </c>
      <c r="G91" s="13">
        <v>0.03</v>
      </c>
      <c r="H91">
        <v>0.5</v>
      </c>
      <c r="I91">
        <v>0.7</v>
      </c>
      <c r="J91" s="21">
        <v>8.3272914886474605E-2</v>
      </c>
      <c r="K91" s="99">
        <v>8.5400409698486335E-2</v>
      </c>
      <c r="L91" s="21">
        <v>3.9874445647001266E-2</v>
      </c>
      <c r="M91" s="21">
        <v>1.5814211219549179E-2</v>
      </c>
      <c r="N91" s="21">
        <v>7.5437932014465331E-2</v>
      </c>
    </row>
    <row r="92" spans="1:14">
      <c r="A92" t="s">
        <v>281</v>
      </c>
      <c r="B92" t="s">
        <v>282</v>
      </c>
      <c r="C92" t="s">
        <v>283</v>
      </c>
      <c r="D92">
        <v>1.3</v>
      </c>
      <c r="E92">
        <v>0.2</v>
      </c>
      <c r="F92">
        <v>0.85</v>
      </c>
      <c r="G92" s="13">
        <v>0.03</v>
      </c>
      <c r="H92">
        <v>0.5</v>
      </c>
      <c r="I92">
        <v>0.7</v>
      </c>
      <c r="J92" s="21">
        <v>0.11301031112670898</v>
      </c>
      <c r="K92" s="99">
        <v>9.75022029876709E-2</v>
      </c>
      <c r="L92" s="21">
        <v>1.6209101304411888E-3</v>
      </c>
      <c r="M92" s="21">
        <v>8.1221642903983593E-4</v>
      </c>
      <c r="N92" s="21">
        <v>0.12739690780639648</v>
      </c>
    </row>
    <row r="93" spans="1:14">
      <c r="A93" t="s">
        <v>284</v>
      </c>
      <c r="B93" t="s">
        <v>285</v>
      </c>
      <c r="C93" t="s">
        <v>286</v>
      </c>
      <c r="D93">
        <v>1.3</v>
      </c>
      <c r="E93">
        <v>0.2</v>
      </c>
      <c r="F93">
        <v>0.85</v>
      </c>
      <c r="G93" s="13">
        <v>0.03</v>
      </c>
      <c r="H93">
        <v>0.5</v>
      </c>
      <c r="I93">
        <v>0.7</v>
      </c>
      <c r="J93" s="21">
        <v>0.10423490524291992</v>
      </c>
      <c r="K93" s="99">
        <v>0.10490052223205566</v>
      </c>
      <c r="L93" s="21">
        <v>9.4109829515218735E-3</v>
      </c>
      <c r="M93" s="21">
        <v>1.0080216452479362E-3</v>
      </c>
      <c r="N93" s="21">
        <v>0.12199999809265137</v>
      </c>
    </row>
    <row r="94" spans="1:14">
      <c r="A94" t="s">
        <v>287</v>
      </c>
      <c r="B94" t="s">
        <v>288</v>
      </c>
      <c r="C94" t="s">
        <v>289</v>
      </c>
      <c r="D94">
        <v>1.7</v>
      </c>
      <c r="E94">
        <v>0.3</v>
      </c>
      <c r="F94">
        <v>0.85</v>
      </c>
      <c r="G94" s="13">
        <v>0.05</v>
      </c>
      <c r="H94">
        <v>0.5</v>
      </c>
      <c r="I94">
        <v>0.7</v>
      </c>
      <c r="J94" s="21">
        <v>0.10359634399414062</v>
      </c>
      <c r="K94" s="99">
        <v>0.10730911254882812</v>
      </c>
      <c r="L94" s="21">
        <v>6.6493138670921326E-2</v>
      </c>
      <c r="M94" s="21">
        <v>3.0523542314767838E-2</v>
      </c>
      <c r="N94" s="21">
        <v>9.9813079833984381E-2</v>
      </c>
    </row>
    <row r="95" spans="1:14">
      <c r="A95" t="s">
        <v>290</v>
      </c>
      <c r="B95" t="s">
        <v>291</v>
      </c>
      <c r="C95" t="s">
        <v>292</v>
      </c>
      <c r="D95">
        <v>1.7</v>
      </c>
      <c r="E95">
        <v>0.3</v>
      </c>
      <c r="F95">
        <v>0.85</v>
      </c>
      <c r="G95" s="13">
        <v>0.05</v>
      </c>
      <c r="H95">
        <v>0.5</v>
      </c>
      <c r="I95">
        <v>0.7</v>
      </c>
      <c r="J95" s="21">
        <v>8.9851751327514648E-2</v>
      </c>
      <c r="K95" s="99">
        <v>8.7354230880737307E-2</v>
      </c>
      <c r="L95" s="21">
        <v>1.7040334641933441E-2</v>
      </c>
      <c r="M95" s="21">
        <v>3.6465376615524292E-3</v>
      </c>
      <c r="N95" s="21">
        <v>9.8733339309692386E-2</v>
      </c>
    </row>
    <row r="96" spans="1:14">
      <c r="A96" t="s">
        <v>293</v>
      </c>
      <c r="B96" t="s">
        <v>294</v>
      </c>
      <c r="C96" t="s">
        <v>295</v>
      </c>
      <c r="D96">
        <v>1.7</v>
      </c>
      <c r="E96">
        <v>0.3</v>
      </c>
      <c r="F96">
        <v>0.85</v>
      </c>
      <c r="G96" s="13">
        <v>0.05</v>
      </c>
      <c r="H96">
        <v>0.5</v>
      </c>
      <c r="I96">
        <v>0.7</v>
      </c>
      <c r="J96" s="21">
        <v>0.10744983673095704</v>
      </c>
      <c r="K96" s="99">
        <v>0.11881160736083984</v>
      </c>
      <c r="L96" s="21">
        <v>1.7040334641933441E-2</v>
      </c>
      <c r="M96" s="21">
        <v>3.6465376615524292E-3</v>
      </c>
      <c r="N96" s="21">
        <v>0.11340000152587891</v>
      </c>
    </row>
    <row r="97" spans="1:14">
      <c r="A97" t="s">
        <v>296</v>
      </c>
      <c r="B97" t="s">
        <v>297</v>
      </c>
      <c r="C97" t="s">
        <v>298</v>
      </c>
      <c r="D97">
        <v>1.3</v>
      </c>
      <c r="E97">
        <v>0.2</v>
      </c>
      <c r="F97">
        <v>0.85</v>
      </c>
      <c r="G97" s="13">
        <v>0.05</v>
      </c>
      <c r="H97">
        <v>0.5</v>
      </c>
      <c r="I97">
        <v>0.7</v>
      </c>
      <c r="J97" s="21">
        <v>0.10744983673095704</v>
      </c>
      <c r="K97" s="99">
        <v>0.11881160736083984</v>
      </c>
      <c r="L97" s="21">
        <v>1.7040334641933441E-2</v>
      </c>
      <c r="M97" s="21">
        <v>3.6465376615524292E-3</v>
      </c>
      <c r="N97" s="21">
        <v>0.11340000152587891</v>
      </c>
    </row>
    <row r="98" spans="1:14">
      <c r="A98" t="s">
        <v>299</v>
      </c>
      <c r="B98" t="s">
        <v>300</v>
      </c>
      <c r="C98" t="s">
        <v>301</v>
      </c>
      <c r="D98">
        <v>1.7</v>
      </c>
      <c r="E98">
        <v>0.3</v>
      </c>
      <c r="F98">
        <v>0.85</v>
      </c>
      <c r="G98" s="13">
        <v>0.05</v>
      </c>
      <c r="H98">
        <v>0.5</v>
      </c>
      <c r="I98">
        <v>0.7</v>
      </c>
      <c r="J98" s="21">
        <v>0.10744983673095704</v>
      </c>
      <c r="K98" s="99">
        <v>0.11881160736083984</v>
      </c>
      <c r="L98" s="21">
        <v>6.3940184190869331E-3</v>
      </c>
      <c r="M98" s="21">
        <v>2.3988550528883934E-3</v>
      </c>
      <c r="N98" s="21">
        <v>0.10819808006286621</v>
      </c>
    </row>
    <row r="99" spans="1:14">
      <c r="A99" t="s">
        <v>302</v>
      </c>
      <c r="B99" t="s">
        <v>303</v>
      </c>
      <c r="C99" t="s">
        <v>304</v>
      </c>
      <c r="D99">
        <v>1.3</v>
      </c>
      <c r="E99">
        <v>0.2</v>
      </c>
      <c r="F99">
        <v>0.85</v>
      </c>
      <c r="G99" s="13">
        <v>0.05</v>
      </c>
      <c r="H99">
        <v>0.5</v>
      </c>
      <c r="I99">
        <v>0.7</v>
      </c>
      <c r="J99" s="21">
        <v>0.11586404800415039</v>
      </c>
      <c r="K99" s="99">
        <v>0.11848507881164551</v>
      </c>
      <c r="L99" s="21">
        <v>2.7504658326506615E-2</v>
      </c>
      <c r="M99" s="21">
        <v>2.0907539874315262E-2</v>
      </c>
      <c r="N99" s="21">
        <v>0.10347499847412109</v>
      </c>
    </row>
    <row r="100" spans="1:14">
      <c r="A100" t="s">
        <v>305</v>
      </c>
      <c r="B100" t="s">
        <v>306</v>
      </c>
      <c r="C100" t="s">
        <v>307</v>
      </c>
      <c r="D100">
        <v>1.7</v>
      </c>
      <c r="E100">
        <v>0.3</v>
      </c>
      <c r="F100">
        <v>0.85</v>
      </c>
      <c r="G100" s="13">
        <v>0.05</v>
      </c>
      <c r="H100">
        <v>0.5</v>
      </c>
      <c r="I100">
        <v>0.7</v>
      </c>
      <c r="J100" s="21">
        <v>9.0621490478515629E-2</v>
      </c>
      <c r="K100" s="99">
        <v>0.1091584587097168</v>
      </c>
      <c r="L100" s="21">
        <v>0.20711015164852142</v>
      </c>
      <c r="M100" s="21">
        <v>9.4220943748950958E-2</v>
      </c>
      <c r="N100" s="21">
        <v>8.6571044921875007E-2</v>
      </c>
    </row>
    <row r="101" spans="1:14">
      <c r="A101" t="s">
        <v>308</v>
      </c>
      <c r="B101" t="s">
        <v>309</v>
      </c>
      <c r="C101" t="s">
        <v>310</v>
      </c>
      <c r="D101">
        <v>1.3</v>
      </c>
      <c r="E101">
        <v>0.2</v>
      </c>
      <c r="F101">
        <v>0.85</v>
      </c>
      <c r="G101" s="13">
        <v>0.05</v>
      </c>
      <c r="H101">
        <v>0.5</v>
      </c>
      <c r="I101">
        <v>0.7</v>
      </c>
      <c r="J101" s="21">
        <v>0.10917007446289062</v>
      </c>
      <c r="K101" s="99">
        <v>0.10909837722778321</v>
      </c>
      <c r="L101" s="21">
        <v>2.7994060888886452E-2</v>
      </c>
      <c r="M101" s="21">
        <v>1.6379425302147865E-2</v>
      </c>
      <c r="N101" s="21">
        <v>0.10586718559265136</v>
      </c>
    </row>
    <row r="102" spans="1:14">
      <c r="A102" t="s">
        <v>311</v>
      </c>
      <c r="B102" t="s">
        <v>312</v>
      </c>
      <c r="C102" t="s">
        <v>313</v>
      </c>
      <c r="D102">
        <v>1.3</v>
      </c>
      <c r="E102">
        <v>0.2</v>
      </c>
      <c r="F102">
        <v>0.85</v>
      </c>
      <c r="G102" s="13">
        <v>0.05</v>
      </c>
      <c r="H102">
        <v>0.5</v>
      </c>
      <c r="I102">
        <v>0.7</v>
      </c>
      <c r="J102" s="21">
        <v>9.5406837463378913E-2</v>
      </c>
      <c r="K102" s="99">
        <v>9.6495885848999027E-2</v>
      </c>
      <c r="L102" s="21">
        <v>-2.8618481010198593E-3</v>
      </c>
      <c r="M102" s="21">
        <v>-1.0527217527851462E-3</v>
      </c>
      <c r="N102" s="21">
        <v>9.9033336639404293E-2</v>
      </c>
    </row>
    <row r="103" spans="1:14">
      <c r="A103" t="s">
        <v>314</v>
      </c>
      <c r="B103" t="s">
        <v>315</v>
      </c>
      <c r="C103" t="s">
        <v>316</v>
      </c>
      <c r="D103">
        <v>1.1000000000000001</v>
      </c>
      <c r="E103">
        <v>0.25</v>
      </c>
      <c r="F103">
        <v>0.85</v>
      </c>
      <c r="G103" s="13">
        <v>0.03</v>
      </c>
      <c r="H103">
        <v>0.5</v>
      </c>
      <c r="I103">
        <v>0.7</v>
      </c>
      <c r="J103" s="21">
        <v>0.11153418540954591</v>
      </c>
      <c r="K103" s="99">
        <v>0.11641464233398438</v>
      </c>
      <c r="L103" s="21">
        <v>6.0436376370489597E-3</v>
      </c>
      <c r="M103" s="21">
        <v>4.2062858119606972E-3</v>
      </c>
      <c r="N103" s="21">
        <v>9.0437917709350585E-2</v>
      </c>
    </row>
    <row r="104" spans="1:14">
      <c r="A104" t="s">
        <v>317</v>
      </c>
      <c r="B104" t="s">
        <v>318</v>
      </c>
      <c r="C104" t="s">
        <v>319</v>
      </c>
      <c r="D104">
        <v>1.01</v>
      </c>
      <c r="E104">
        <v>0.3</v>
      </c>
      <c r="F104">
        <v>0.85</v>
      </c>
      <c r="G104" s="13">
        <v>0.03</v>
      </c>
      <c r="H104">
        <v>0.5</v>
      </c>
      <c r="I104">
        <v>0.7</v>
      </c>
      <c r="J104" s="21">
        <v>0.10133419036865235</v>
      </c>
      <c r="K104" s="99">
        <v>9.9363803863525391E-2</v>
      </c>
      <c r="L104" s="21">
        <v>7.8576542437076569E-3</v>
      </c>
      <c r="M104" s="21">
        <v>4.9145775847136974E-3</v>
      </c>
      <c r="N104" s="21">
        <v>7.1699995994567875E-2</v>
      </c>
    </row>
    <row r="105" spans="1:14">
      <c r="A105" t="s">
        <v>320</v>
      </c>
      <c r="B105" t="s">
        <v>321</v>
      </c>
      <c r="C105" t="s">
        <v>322</v>
      </c>
      <c r="D105">
        <v>1.1000000000000001</v>
      </c>
      <c r="E105">
        <v>0.1</v>
      </c>
      <c r="F105">
        <v>0.85</v>
      </c>
      <c r="G105" s="13">
        <v>0.03</v>
      </c>
      <c r="H105">
        <v>0.5</v>
      </c>
      <c r="I105">
        <v>0.7</v>
      </c>
      <c r="J105" s="21">
        <v>0.11023004531860352</v>
      </c>
      <c r="K105" s="99">
        <v>0.11103954315185546</v>
      </c>
      <c r="L105" s="21">
        <v>2.6274772826582193E-3</v>
      </c>
      <c r="M105" s="21">
        <v>1.2060728622600436E-3</v>
      </c>
      <c r="N105" s="21">
        <v>0.10884213447570801</v>
      </c>
    </row>
    <row r="106" spans="1:14">
      <c r="A106" t="s">
        <v>323</v>
      </c>
      <c r="B106" t="s">
        <v>324</v>
      </c>
      <c r="C106" t="s">
        <v>325</v>
      </c>
      <c r="D106">
        <v>1.1000000000000001</v>
      </c>
      <c r="E106">
        <v>0.1</v>
      </c>
      <c r="F106">
        <v>0.85</v>
      </c>
      <c r="G106" s="13">
        <v>0.03</v>
      </c>
      <c r="H106">
        <v>0.5</v>
      </c>
      <c r="I106">
        <v>0.7</v>
      </c>
      <c r="J106" s="21">
        <v>0.14101847648620605</v>
      </c>
      <c r="K106" s="99">
        <v>0.11733074188232422</v>
      </c>
      <c r="L106" s="21">
        <v>8.3746863529086113E-3</v>
      </c>
      <c r="M106" s="21">
        <v>4.2444178834557533E-3</v>
      </c>
      <c r="N106" s="21">
        <v>0.10884213447570801</v>
      </c>
    </row>
    <row r="107" spans="1:14">
      <c r="A107" t="s">
        <v>326</v>
      </c>
      <c r="B107" t="s">
        <v>327</v>
      </c>
      <c r="C107" t="s">
        <v>328</v>
      </c>
      <c r="D107">
        <v>1.1000000000000001</v>
      </c>
      <c r="E107">
        <v>0.1</v>
      </c>
      <c r="F107">
        <v>0.85</v>
      </c>
      <c r="G107" s="13">
        <v>0.03</v>
      </c>
      <c r="H107">
        <v>0.5</v>
      </c>
      <c r="I107">
        <v>0.7</v>
      </c>
      <c r="J107" s="21">
        <v>0.11271505355834961</v>
      </c>
      <c r="K107" s="99">
        <v>0.11325910568237305</v>
      </c>
      <c r="L107" s="21">
        <v>4.9234828911721706E-3</v>
      </c>
      <c r="M107" s="21">
        <v>2.770514227449894E-3</v>
      </c>
      <c r="N107" s="21">
        <v>0.11461077690124512</v>
      </c>
    </row>
    <row r="108" spans="1:14">
      <c r="A108" t="s">
        <v>329</v>
      </c>
      <c r="B108" t="s">
        <v>330</v>
      </c>
      <c r="C108" t="s">
        <v>331</v>
      </c>
      <c r="D108">
        <v>1.1000000000000001</v>
      </c>
      <c r="E108">
        <v>0.1</v>
      </c>
      <c r="F108">
        <v>0.85</v>
      </c>
      <c r="G108" s="13">
        <v>0.03</v>
      </c>
      <c r="H108">
        <v>0.5</v>
      </c>
      <c r="I108">
        <v>0.7</v>
      </c>
      <c r="J108" s="21">
        <v>0.1071689224243164</v>
      </c>
      <c r="K108" s="99">
        <v>0.10838069915771484</v>
      </c>
      <c r="L108" s="21">
        <v>3.5356427542865276E-3</v>
      </c>
      <c r="M108" s="21">
        <v>1.7717593582347035E-3</v>
      </c>
      <c r="N108" s="21">
        <v>0.10373332977294922</v>
      </c>
    </row>
    <row r="109" spans="1:14">
      <c r="A109" t="s">
        <v>332</v>
      </c>
      <c r="B109" t="s">
        <v>333</v>
      </c>
      <c r="C109" t="s">
        <v>334</v>
      </c>
      <c r="D109">
        <v>1.1000000000000001</v>
      </c>
      <c r="E109">
        <v>0.1</v>
      </c>
      <c r="F109">
        <v>0.85</v>
      </c>
      <c r="G109" s="13">
        <v>0.03</v>
      </c>
      <c r="H109">
        <v>0.5</v>
      </c>
      <c r="I109">
        <v>0.7</v>
      </c>
      <c r="J109" s="21">
        <v>0.14724482536315919</v>
      </c>
      <c r="K109" s="99">
        <v>0.11689404487609863</v>
      </c>
      <c r="L109" s="21">
        <v>1.3367582112550735E-2</v>
      </c>
      <c r="M109" s="21">
        <v>7.0563992485404015E-3</v>
      </c>
      <c r="N109" s="21">
        <v>0.10373332977294922</v>
      </c>
    </row>
    <row r="110" spans="1:14">
      <c r="A110" t="s">
        <v>335</v>
      </c>
      <c r="B110" t="s">
        <v>336</v>
      </c>
      <c r="C110" t="s">
        <v>337</v>
      </c>
      <c r="D110">
        <v>1.7</v>
      </c>
      <c r="E110">
        <v>0.3</v>
      </c>
      <c r="F110">
        <v>0.85</v>
      </c>
      <c r="G110" s="13">
        <v>0.03</v>
      </c>
      <c r="H110">
        <v>0.5</v>
      </c>
      <c r="I110">
        <v>0.7</v>
      </c>
      <c r="J110" s="21">
        <v>9.9902667999267572E-2</v>
      </c>
      <c r="K110" s="99">
        <v>0.10073945045471192</v>
      </c>
      <c r="L110" s="21">
        <v>3.4416265785694122E-2</v>
      </c>
      <c r="M110" s="21">
        <v>2.0453143864870071E-2</v>
      </c>
      <c r="N110" s="21">
        <v>7.6230592727661139E-2</v>
      </c>
    </row>
    <row r="111" spans="1:14">
      <c r="A111" t="s">
        <v>338</v>
      </c>
      <c r="B111" t="s">
        <v>339</v>
      </c>
      <c r="C111" t="s">
        <v>340</v>
      </c>
      <c r="D111">
        <v>1.1000000000000001</v>
      </c>
      <c r="E111">
        <v>0.1</v>
      </c>
      <c r="F111">
        <v>0.85</v>
      </c>
      <c r="G111" s="13">
        <v>0.03</v>
      </c>
      <c r="H111">
        <v>0.5</v>
      </c>
      <c r="I111">
        <v>0.7</v>
      </c>
      <c r="J111" s="21">
        <v>9.9902667999267572E-2</v>
      </c>
      <c r="K111" s="99">
        <v>0.10073945045471192</v>
      </c>
      <c r="L111" s="21">
        <v>3.4416265785694122E-2</v>
      </c>
      <c r="M111" s="21">
        <v>2.0453143864870071E-2</v>
      </c>
      <c r="N111" s="21">
        <v>7.6230592727661139E-2</v>
      </c>
    </row>
    <row r="112" spans="1:14">
      <c r="A112" t="s">
        <v>341</v>
      </c>
      <c r="B112" t="s">
        <v>342</v>
      </c>
      <c r="C112" t="s">
        <v>343</v>
      </c>
      <c r="D112">
        <v>1.1000000000000001</v>
      </c>
      <c r="E112">
        <v>0.1</v>
      </c>
      <c r="F112">
        <v>0.85</v>
      </c>
      <c r="G112" s="13">
        <v>0.02</v>
      </c>
      <c r="H112">
        <v>0.5</v>
      </c>
      <c r="I112">
        <v>0.7</v>
      </c>
      <c r="J112" s="21">
        <v>8.6934518814086911E-2</v>
      </c>
      <c r="K112" s="99">
        <v>9.2418918609619136E-2</v>
      </c>
      <c r="L112" s="21">
        <v>0.28823313117027283</v>
      </c>
      <c r="M112" s="21">
        <v>2.4501999840140343E-2</v>
      </c>
      <c r="N112" s="21">
        <v>9.7300710678100588E-2</v>
      </c>
    </row>
    <row r="113" spans="1:14">
      <c r="A113" t="s">
        <v>344</v>
      </c>
      <c r="B113" t="s">
        <v>345</v>
      </c>
      <c r="C113" t="s">
        <v>346</v>
      </c>
      <c r="D113">
        <v>1.2</v>
      </c>
      <c r="E113">
        <v>0.15</v>
      </c>
      <c r="F113">
        <v>0.85</v>
      </c>
      <c r="G113" s="13">
        <v>0.02</v>
      </c>
      <c r="H113">
        <v>0.5</v>
      </c>
      <c r="I113">
        <v>0.7</v>
      </c>
      <c r="J113" s="21">
        <v>9.4515838623046869E-2</v>
      </c>
      <c r="K113" s="99">
        <v>9.4842224121093749E-2</v>
      </c>
      <c r="L113" s="21">
        <v>1.0159711353480816E-2</v>
      </c>
      <c r="M113" s="21">
        <v>3.2330560497939587E-3</v>
      </c>
      <c r="N113" s="21">
        <v>0.10566964149475097</v>
      </c>
    </row>
    <row r="114" spans="1:14">
      <c r="A114" t="s">
        <v>347</v>
      </c>
      <c r="B114" t="s">
        <v>348</v>
      </c>
      <c r="C114" t="s">
        <v>349</v>
      </c>
      <c r="D114">
        <v>1.2</v>
      </c>
      <c r="E114">
        <v>0.15</v>
      </c>
      <c r="F114">
        <v>0.85</v>
      </c>
      <c r="G114" s="13">
        <v>0.02</v>
      </c>
      <c r="H114">
        <v>0.5</v>
      </c>
      <c r="I114">
        <v>0.7</v>
      </c>
      <c r="J114" s="21">
        <v>0.12704071998596192</v>
      </c>
      <c r="K114" s="99">
        <v>0.12711228370666505</v>
      </c>
      <c r="L114" s="21">
        <v>4.3582869693636894E-4</v>
      </c>
      <c r="M114" s="21">
        <v>4.3353051296435297E-4</v>
      </c>
      <c r="N114" s="21">
        <v>0.11356666564941406</v>
      </c>
    </row>
    <row r="115" spans="1:14">
      <c r="A115" t="s">
        <v>350</v>
      </c>
      <c r="B115" t="s">
        <v>351</v>
      </c>
      <c r="C115" t="s">
        <v>352</v>
      </c>
      <c r="D115">
        <v>1.2</v>
      </c>
      <c r="E115">
        <v>0.15</v>
      </c>
      <c r="F115">
        <v>0.85</v>
      </c>
      <c r="G115" s="13">
        <v>0.02</v>
      </c>
      <c r="H115">
        <v>0.5</v>
      </c>
      <c r="I115">
        <v>0.7</v>
      </c>
      <c r="J115" s="21">
        <v>0.1062659740447998</v>
      </c>
      <c r="K115" s="99">
        <v>0.10580032348632812</v>
      </c>
      <c r="L115" s="21">
        <v>1.2220133095979691E-2</v>
      </c>
      <c r="M115" s="21">
        <v>7.0995744317770004E-3</v>
      </c>
      <c r="N115" s="21">
        <v>0.10860000610351563</v>
      </c>
    </row>
    <row r="116" spans="1:14">
      <c r="A116" t="s">
        <v>353</v>
      </c>
      <c r="B116" t="s">
        <v>354</v>
      </c>
      <c r="C116" t="s">
        <v>355</v>
      </c>
      <c r="D116">
        <v>1.2</v>
      </c>
      <c r="E116">
        <v>0.15</v>
      </c>
      <c r="F116">
        <v>0.85</v>
      </c>
      <c r="G116" s="13">
        <v>0.02</v>
      </c>
      <c r="H116">
        <v>0.5</v>
      </c>
      <c r="I116">
        <v>0.7</v>
      </c>
      <c r="J116" s="21">
        <v>0.10308834075927735</v>
      </c>
      <c r="K116" s="99">
        <v>0.10492866516113281</v>
      </c>
      <c r="L116" s="21">
        <v>2.8906073421239853E-2</v>
      </c>
      <c r="M116" s="21">
        <v>1.5178398229181767E-2</v>
      </c>
      <c r="N116" s="21">
        <v>0.10529687881469726</v>
      </c>
    </row>
    <row r="117" spans="1:14">
      <c r="A117" t="s">
        <v>356</v>
      </c>
      <c r="B117" t="s">
        <v>357</v>
      </c>
      <c r="C117" t="s">
        <v>358</v>
      </c>
      <c r="D117">
        <v>1.2</v>
      </c>
      <c r="E117">
        <v>0.15</v>
      </c>
      <c r="F117">
        <v>0.85</v>
      </c>
      <c r="G117" s="13">
        <v>0.02</v>
      </c>
      <c r="H117">
        <v>0.5</v>
      </c>
      <c r="I117">
        <v>0.7</v>
      </c>
      <c r="J117" s="21">
        <v>0.12106178283691406</v>
      </c>
      <c r="K117" s="99">
        <v>0.12282424926757812</v>
      </c>
      <c r="L117" s="21">
        <v>1.2580028269439936E-3</v>
      </c>
      <c r="M117" s="21">
        <v>9.8208861891180277E-4</v>
      </c>
      <c r="N117" s="21">
        <v>0.10126666069030761</v>
      </c>
    </row>
    <row r="118" spans="1:14">
      <c r="A118" t="s">
        <v>359</v>
      </c>
      <c r="B118" t="s">
        <v>360</v>
      </c>
      <c r="C118" t="s">
        <v>361</v>
      </c>
      <c r="D118">
        <v>1.2</v>
      </c>
      <c r="E118">
        <v>0.15</v>
      </c>
      <c r="F118">
        <v>0.85</v>
      </c>
      <c r="G118" s="13">
        <v>0.02</v>
      </c>
      <c r="H118">
        <v>0.5</v>
      </c>
      <c r="I118">
        <v>0.7</v>
      </c>
      <c r="J118" s="21">
        <v>0.10694152832031251</v>
      </c>
      <c r="K118" s="99">
        <v>0.10982407569885254</v>
      </c>
      <c r="L118" s="21">
        <v>3.0449926853179932E-2</v>
      </c>
      <c r="M118" s="21">
        <v>1.5025929547846317E-2</v>
      </c>
      <c r="N118" s="21">
        <v>0.11121665954589843</v>
      </c>
    </row>
    <row r="119" spans="1:14">
      <c r="A119" t="s">
        <v>362</v>
      </c>
      <c r="B119" t="s">
        <v>363</v>
      </c>
      <c r="C119" t="s">
        <v>364</v>
      </c>
      <c r="D119">
        <v>1.2</v>
      </c>
      <c r="E119">
        <v>0.15</v>
      </c>
      <c r="F119">
        <v>0.85</v>
      </c>
      <c r="G119" s="13">
        <v>0.02</v>
      </c>
      <c r="H119">
        <v>0.5</v>
      </c>
      <c r="I119">
        <v>0.7</v>
      </c>
      <c r="J119" s="21">
        <v>0.11090300559997558</v>
      </c>
      <c r="K119" s="99">
        <v>0.11380233764648437</v>
      </c>
      <c r="L119" s="21">
        <v>3.8643285632133484E-2</v>
      </c>
      <c r="M119" s="21">
        <v>2.0705258473753929E-2</v>
      </c>
      <c r="N119" s="21">
        <v>0.12047504425048829</v>
      </c>
    </row>
    <row r="120" spans="1:14">
      <c r="A120" t="s">
        <v>365</v>
      </c>
      <c r="B120" t="s">
        <v>366</v>
      </c>
      <c r="C120" t="s">
        <v>367</v>
      </c>
      <c r="D120">
        <v>1.2</v>
      </c>
      <c r="E120">
        <v>0.15</v>
      </c>
      <c r="F120">
        <v>0.85</v>
      </c>
      <c r="G120" s="13">
        <v>0.02</v>
      </c>
      <c r="H120">
        <v>0.5</v>
      </c>
      <c r="I120">
        <v>0.7</v>
      </c>
      <c r="J120" s="21">
        <v>9.4371824264526366E-2</v>
      </c>
      <c r="K120" s="99">
        <v>9.9220323562622073E-2</v>
      </c>
      <c r="L120" s="21">
        <v>1.7921002581715584E-2</v>
      </c>
      <c r="M120" s="21">
        <v>7.4416790157556534E-3</v>
      </c>
      <c r="N120" s="21">
        <v>0.112037935256958</v>
      </c>
    </row>
    <row r="121" spans="1:14">
      <c r="A121" t="s">
        <v>368</v>
      </c>
      <c r="B121" t="s">
        <v>369</v>
      </c>
      <c r="C121" t="s">
        <v>370</v>
      </c>
      <c r="D121">
        <v>1</v>
      </c>
      <c r="E121">
        <v>0.1</v>
      </c>
      <c r="F121">
        <v>0.85</v>
      </c>
      <c r="G121" s="13">
        <v>0.05</v>
      </c>
      <c r="H121">
        <v>0.5</v>
      </c>
      <c r="I121">
        <v>0.7</v>
      </c>
      <c r="J121" s="21">
        <v>0.10546765327453614</v>
      </c>
      <c r="K121" s="99">
        <v>0.11108502388000488</v>
      </c>
      <c r="L121" s="21">
        <v>9.9466979503631592E-2</v>
      </c>
      <c r="M121" s="21">
        <v>5.6509546935558319E-2</v>
      </c>
      <c r="N121" s="21">
        <v>0.10588872909545899</v>
      </c>
    </row>
    <row r="122" spans="1:14">
      <c r="A122" t="s">
        <v>371</v>
      </c>
      <c r="B122" t="s">
        <v>372</v>
      </c>
      <c r="C122" t="s">
        <v>373</v>
      </c>
      <c r="D122">
        <v>1</v>
      </c>
      <c r="E122">
        <v>0.1</v>
      </c>
      <c r="F122">
        <v>0.85</v>
      </c>
      <c r="G122" s="13">
        <v>0.05</v>
      </c>
      <c r="H122">
        <v>0.5</v>
      </c>
      <c r="I122">
        <v>0.7</v>
      </c>
      <c r="J122" s="21">
        <v>9.8515596389770504E-2</v>
      </c>
      <c r="K122" s="99">
        <v>0.10403120994567872</v>
      </c>
      <c r="L122" s="21">
        <v>8.3122648298740387E-2</v>
      </c>
      <c r="M122" s="21">
        <v>3.9577443152666092E-2</v>
      </c>
      <c r="N122" s="21">
        <v>0.10077038764953614</v>
      </c>
    </row>
    <row r="123" spans="1:14">
      <c r="A123" t="s">
        <v>374</v>
      </c>
      <c r="B123" t="s">
        <v>375</v>
      </c>
      <c r="C123" t="s">
        <v>376</v>
      </c>
      <c r="D123">
        <v>1</v>
      </c>
      <c r="E123">
        <v>0.1</v>
      </c>
      <c r="F123">
        <v>0.85</v>
      </c>
      <c r="G123" s="13">
        <v>0.05</v>
      </c>
      <c r="H123">
        <v>0.5</v>
      </c>
      <c r="I123">
        <v>0.7</v>
      </c>
      <c r="J123" s="21">
        <v>9.813836097717285E-2</v>
      </c>
      <c r="K123" s="99">
        <v>9.8960294723510742E-2</v>
      </c>
      <c r="L123" s="21">
        <v>0.17710196971893311</v>
      </c>
      <c r="M123" s="21">
        <v>5.756344273686409E-2</v>
      </c>
      <c r="N123" s="21">
        <v>0.10684346199035645</v>
      </c>
    </row>
    <row r="124" spans="1:14">
      <c r="A124" t="s">
        <v>377</v>
      </c>
      <c r="B124" t="s">
        <v>378</v>
      </c>
      <c r="C124" t="s">
        <v>379</v>
      </c>
      <c r="D124">
        <v>1</v>
      </c>
      <c r="E124">
        <v>0.1</v>
      </c>
      <c r="F124">
        <v>0.85</v>
      </c>
      <c r="G124" s="13">
        <v>0.05</v>
      </c>
      <c r="H124">
        <v>0.5</v>
      </c>
      <c r="I124">
        <v>0.7</v>
      </c>
      <c r="J124" s="21">
        <v>9.813836097717285E-2</v>
      </c>
      <c r="K124" s="99">
        <v>9.8960294723510742E-2</v>
      </c>
      <c r="L124" s="21">
        <v>0.17710196971893311</v>
      </c>
      <c r="M124" s="21">
        <v>5.756344273686409E-2</v>
      </c>
      <c r="N124" s="21">
        <v>0.1043819522857666</v>
      </c>
    </row>
    <row r="125" spans="1:14">
      <c r="A125" t="s">
        <v>380</v>
      </c>
      <c r="B125" t="s">
        <v>381</v>
      </c>
      <c r="C125" t="s">
        <v>382</v>
      </c>
      <c r="D125">
        <v>1</v>
      </c>
      <c r="E125">
        <v>0.1</v>
      </c>
      <c r="F125">
        <v>0.85</v>
      </c>
      <c r="G125" s="13">
        <v>0.05</v>
      </c>
      <c r="H125">
        <v>0.5</v>
      </c>
      <c r="I125">
        <v>0.7</v>
      </c>
      <c r="J125" s="21">
        <v>9.6443004608154304E-2</v>
      </c>
      <c r="K125" s="99">
        <v>9.7900934219360358E-2</v>
      </c>
      <c r="L125" s="21">
        <v>2.480749785900116E-2</v>
      </c>
      <c r="M125" s="21">
        <v>1.0459117591381073E-2</v>
      </c>
      <c r="N125" s="21">
        <v>0.10254059791564941</v>
      </c>
    </row>
    <row r="126" spans="1:14">
      <c r="A126" t="s">
        <v>383</v>
      </c>
      <c r="B126" t="s">
        <v>384</v>
      </c>
      <c r="C126" t="s">
        <v>385</v>
      </c>
      <c r="D126">
        <v>1</v>
      </c>
      <c r="E126">
        <v>0.1</v>
      </c>
      <c r="F126">
        <v>0.85</v>
      </c>
      <c r="G126" s="13">
        <v>0.05</v>
      </c>
      <c r="H126">
        <v>0.5</v>
      </c>
      <c r="I126">
        <v>0.7</v>
      </c>
      <c r="J126" s="21">
        <v>9.0168399810791014E-2</v>
      </c>
      <c r="K126" s="99">
        <v>9.4314422607421872E-2</v>
      </c>
      <c r="L126" s="21">
        <v>-5.9652876108884811E-2</v>
      </c>
      <c r="M126" s="21">
        <v>-9.48311947286129E-3</v>
      </c>
      <c r="N126" s="21">
        <v>0.10704303741455078</v>
      </c>
    </row>
    <row r="127" spans="1:14">
      <c r="A127" t="s">
        <v>386</v>
      </c>
      <c r="B127" t="s">
        <v>387</v>
      </c>
      <c r="C127" t="s">
        <v>388</v>
      </c>
      <c r="D127">
        <v>1</v>
      </c>
      <c r="E127">
        <v>0.1</v>
      </c>
      <c r="F127">
        <v>0.85</v>
      </c>
      <c r="G127" s="13">
        <v>0.05</v>
      </c>
      <c r="H127">
        <v>0.5</v>
      </c>
      <c r="I127">
        <v>0.7</v>
      </c>
      <c r="J127" s="21">
        <v>8.5769090652465824E-2</v>
      </c>
      <c r="K127" s="99">
        <v>8.8827037811279291E-2</v>
      </c>
      <c r="L127" s="21">
        <v>6.1303582042455673E-2</v>
      </c>
      <c r="M127" s="21">
        <v>1.9494716078042984E-2</v>
      </c>
      <c r="N127" s="21">
        <v>0.10424697875976563</v>
      </c>
    </row>
    <row r="128" spans="1:14">
      <c r="A128" t="s">
        <v>389</v>
      </c>
      <c r="B128" t="s">
        <v>390</v>
      </c>
      <c r="C128" t="s">
        <v>391</v>
      </c>
      <c r="D128">
        <v>1</v>
      </c>
      <c r="E128">
        <v>0.1</v>
      </c>
      <c r="F128">
        <v>0.85</v>
      </c>
      <c r="G128" s="13">
        <v>0.05</v>
      </c>
      <c r="H128">
        <v>0.5</v>
      </c>
      <c r="I128">
        <v>0.7</v>
      </c>
      <c r="J128" s="21">
        <v>9.4656267166137689E-2</v>
      </c>
      <c r="K128" s="99">
        <v>9.8002014160156248E-2</v>
      </c>
      <c r="L128" s="21">
        <v>4.2729888111352921E-2</v>
      </c>
      <c r="M128" s="21">
        <v>1.5293622389435768E-2</v>
      </c>
      <c r="N128" s="21">
        <v>0.10523902893066406</v>
      </c>
    </row>
    <row r="129" spans="1:14">
      <c r="A129" t="s">
        <v>392</v>
      </c>
      <c r="B129" t="s">
        <v>393</v>
      </c>
      <c r="C129" t="s">
        <v>394</v>
      </c>
      <c r="D129">
        <v>1</v>
      </c>
      <c r="E129">
        <v>0.1</v>
      </c>
      <c r="F129">
        <v>0.85</v>
      </c>
      <c r="G129" s="13">
        <v>0.05</v>
      </c>
      <c r="H129">
        <v>0.5</v>
      </c>
      <c r="I129">
        <v>0.7</v>
      </c>
      <c r="J129" s="21">
        <v>8.0162229537963869E-2</v>
      </c>
      <c r="K129" s="99">
        <v>7.7450237274169928E-2</v>
      </c>
      <c r="L129" s="21">
        <v>7.2488009929656982E-2</v>
      </c>
      <c r="M129" s="21">
        <v>7.6848831959068775E-3</v>
      </c>
      <c r="N129" s="21">
        <v>0.10501225471496582</v>
      </c>
    </row>
    <row r="130" spans="1:14">
      <c r="A130" t="s">
        <v>395</v>
      </c>
      <c r="B130" t="s">
        <v>396</v>
      </c>
      <c r="C130" t="s">
        <v>397</v>
      </c>
      <c r="D130">
        <v>1</v>
      </c>
      <c r="E130">
        <v>0.1</v>
      </c>
      <c r="F130">
        <v>0.85</v>
      </c>
      <c r="G130" s="13">
        <v>0.05</v>
      </c>
      <c r="H130">
        <v>0.5</v>
      </c>
      <c r="I130">
        <v>0.7</v>
      </c>
      <c r="J130" s="21">
        <v>9.524967193603516E-2</v>
      </c>
      <c r="K130" s="99">
        <v>0.10117883682250976</v>
      </c>
      <c r="L130" s="21">
        <v>7.0994116365909576E-2</v>
      </c>
      <c r="M130" s="21">
        <v>9.1408127918839455E-3</v>
      </c>
      <c r="N130" s="21">
        <v>0.10945619583129883</v>
      </c>
    </row>
    <row r="131" spans="1:14">
      <c r="A131" t="s">
        <v>398</v>
      </c>
      <c r="B131" t="s">
        <v>399</v>
      </c>
      <c r="C131" t="s">
        <v>400</v>
      </c>
      <c r="D131">
        <v>1</v>
      </c>
      <c r="E131">
        <v>0.1</v>
      </c>
      <c r="F131">
        <v>0.85</v>
      </c>
      <c r="G131" s="13">
        <v>0.05</v>
      </c>
      <c r="H131">
        <v>0.5</v>
      </c>
      <c r="I131">
        <v>0.7</v>
      </c>
      <c r="J131" s="21">
        <v>8.8291635513305669E-2</v>
      </c>
      <c r="K131" s="99">
        <v>0.11071138381958008</v>
      </c>
      <c r="L131" s="21">
        <v>3.1639572232961655E-2</v>
      </c>
      <c r="M131" s="21">
        <v>1.0810771025717258E-2</v>
      </c>
      <c r="N131" s="21">
        <v>0.11083638191223144</v>
      </c>
    </row>
    <row r="132" spans="1:14">
      <c r="A132" t="s">
        <v>401</v>
      </c>
      <c r="B132" t="s">
        <v>402</v>
      </c>
      <c r="C132" t="s">
        <v>403</v>
      </c>
      <c r="D132">
        <v>1</v>
      </c>
      <c r="E132">
        <v>0.1</v>
      </c>
      <c r="F132">
        <v>0.85</v>
      </c>
      <c r="G132" s="13">
        <v>0.05</v>
      </c>
      <c r="H132">
        <v>0.5</v>
      </c>
      <c r="I132">
        <v>0.7</v>
      </c>
      <c r="J132" s="21">
        <v>9.345512390136719E-2</v>
      </c>
      <c r="K132" s="99">
        <v>0.10124747276306152</v>
      </c>
      <c r="L132" s="21">
        <v>6.3458919525146484E-2</v>
      </c>
      <c r="M132" s="21">
        <v>1.3284303247928619E-2</v>
      </c>
      <c r="N132" s="21">
        <v>0.10711851119995117</v>
      </c>
    </row>
    <row r="133" spans="1:14">
      <c r="A133" t="s">
        <v>404</v>
      </c>
      <c r="B133" t="s">
        <v>405</v>
      </c>
      <c r="C133" t="s">
        <v>406</v>
      </c>
      <c r="D133">
        <v>1</v>
      </c>
      <c r="E133">
        <v>0.1</v>
      </c>
      <c r="F133">
        <v>0.85</v>
      </c>
      <c r="G133" s="13">
        <v>0.05</v>
      </c>
      <c r="H133">
        <v>0.5</v>
      </c>
      <c r="I133">
        <v>0.7</v>
      </c>
      <c r="J133" s="21">
        <v>8.8184900283813483E-2</v>
      </c>
      <c r="K133" s="99">
        <v>9.2822675704956059E-2</v>
      </c>
      <c r="L133" s="21">
        <v>5.3773164749145508E-2</v>
      </c>
      <c r="M133" s="21">
        <v>1.1843425221741199E-2</v>
      </c>
      <c r="N133" s="21">
        <v>9.4387006759643552E-2</v>
      </c>
    </row>
    <row r="134" spans="1:14">
      <c r="A134" t="s">
        <v>407</v>
      </c>
      <c r="B134" t="s">
        <v>408</v>
      </c>
      <c r="C134" t="s">
        <v>409</v>
      </c>
      <c r="D134">
        <v>1</v>
      </c>
      <c r="E134">
        <v>0.1</v>
      </c>
      <c r="F134">
        <v>0.85</v>
      </c>
      <c r="G134" s="13">
        <v>0.05</v>
      </c>
      <c r="H134">
        <v>0.5</v>
      </c>
      <c r="I134">
        <v>0.7</v>
      </c>
      <c r="J134" s="21">
        <v>9.0106258392333979E-2</v>
      </c>
      <c r="K134" s="99">
        <v>9.3157520294189458E-2</v>
      </c>
      <c r="L134" s="21">
        <v>7.5730636715888977E-2</v>
      </c>
      <c r="M134" s="21">
        <v>2.8632065281271935E-2</v>
      </c>
      <c r="N134" s="21">
        <v>0.10197089195251464</v>
      </c>
    </row>
    <row r="135" spans="1:14">
      <c r="A135" t="s">
        <v>410</v>
      </c>
      <c r="B135" t="s">
        <v>411</v>
      </c>
      <c r="C135" t="s">
        <v>412</v>
      </c>
      <c r="D135">
        <v>1</v>
      </c>
      <c r="E135">
        <v>0.1</v>
      </c>
      <c r="F135">
        <v>0.85</v>
      </c>
      <c r="G135" s="13">
        <v>0.05</v>
      </c>
      <c r="H135">
        <v>0.5</v>
      </c>
      <c r="I135">
        <v>0.7</v>
      </c>
      <c r="J135" s="21">
        <v>0.11124034881591797</v>
      </c>
      <c r="K135" s="99">
        <v>0.11029420852661133</v>
      </c>
      <c r="L135" s="21">
        <v>1.8081841990351677E-2</v>
      </c>
      <c r="M135" s="21">
        <v>1.2953492812812328E-2</v>
      </c>
      <c r="N135" s="21">
        <v>9.5411987304687501E-2</v>
      </c>
    </row>
    <row r="136" spans="1:14">
      <c r="A136" t="s">
        <v>413</v>
      </c>
      <c r="B136" t="s">
        <v>414</v>
      </c>
      <c r="C136" t="s">
        <v>415</v>
      </c>
      <c r="D136">
        <v>1</v>
      </c>
      <c r="E136">
        <v>0.1</v>
      </c>
      <c r="F136">
        <v>0.85</v>
      </c>
      <c r="G136" s="13">
        <v>0.05</v>
      </c>
      <c r="H136">
        <v>0.5</v>
      </c>
      <c r="I136">
        <v>0.7</v>
      </c>
      <c r="J136" s="21">
        <v>0</v>
      </c>
      <c r="K136" s="99">
        <v>0</v>
      </c>
      <c r="L136" s="21">
        <v>0.31367895007133484</v>
      </c>
      <c r="M136" s="21">
        <v>-6.2988032586872578E-3</v>
      </c>
      <c r="N136" s="21">
        <v>0.10371476173400879</v>
      </c>
    </row>
    <row r="137" spans="1:14">
      <c r="A137" t="s">
        <v>416</v>
      </c>
      <c r="B137" t="s">
        <v>417</v>
      </c>
      <c r="C137" t="s">
        <v>418</v>
      </c>
      <c r="D137">
        <v>1</v>
      </c>
      <c r="E137">
        <v>0.1</v>
      </c>
      <c r="F137">
        <v>0.85</v>
      </c>
      <c r="G137" s="13">
        <v>0.05</v>
      </c>
      <c r="H137">
        <v>0.5</v>
      </c>
      <c r="I137">
        <v>0.7</v>
      </c>
      <c r="J137" s="21">
        <v>9.1580171585083012E-2</v>
      </c>
      <c r="K137" s="99">
        <v>9.3999319076538079E-2</v>
      </c>
      <c r="L137" s="21">
        <v>5.9014052152633667E-2</v>
      </c>
      <c r="M137" s="21">
        <v>1.7936743795871735E-2</v>
      </c>
      <c r="N137" s="21">
        <v>0.10324814796447754</v>
      </c>
    </row>
    <row r="138" spans="1:14">
      <c r="A138" t="s">
        <v>419</v>
      </c>
      <c r="B138" t="s">
        <v>420</v>
      </c>
      <c r="C138" t="s">
        <v>421</v>
      </c>
      <c r="D138">
        <v>1</v>
      </c>
      <c r="E138">
        <v>0.1</v>
      </c>
      <c r="F138">
        <v>0.85</v>
      </c>
      <c r="G138" s="13">
        <v>0.05</v>
      </c>
      <c r="H138">
        <v>0.5</v>
      </c>
      <c r="I138">
        <v>0.7</v>
      </c>
      <c r="J138" s="21">
        <v>0.10097301483154297</v>
      </c>
      <c r="K138" s="99">
        <v>0.1090774154663086</v>
      </c>
      <c r="L138" s="21">
        <v>5.901394784450531E-2</v>
      </c>
      <c r="M138" s="21">
        <v>1.858961209654808E-2</v>
      </c>
      <c r="N138" s="21">
        <v>0.10985627174377441</v>
      </c>
    </row>
    <row r="139" spans="1:14">
      <c r="A139" t="s">
        <v>422</v>
      </c>
      <c r="B139" t="s">
        <v>423</v>
      </c>
      <c r="C139" t="s">
        <v>424</v>
      </c>
      <c r="D139">
        <v>1</v>
      </c>
      <c r="E139">
        <v>0.1</v>
      </c>
      <c r="F139">
        <v>0.85</v>
      </c>
      <c r="G139" s="13">
        <v>0.05</v>
      </c>
      <c r="H139">
        <v>0.5</v>
      </c>
      <c r="I139">
        <v>0.7</v>
      </c>
      <c r="J139" s="21">
        <v>9.5849180221557612E-2</v>
      </c>
      <c r="K139" s="99">
        <v>0.10202570915222169</v>
      </c>
      <c r="L139" s="21">
        <v>4.5815713703632355E-2</v>
      </c>
      <c r="M139" s="21">
        <v>1.7698442563414574E-2</v>
      </c>
      <c r="N139" s="21">
        <v>0.1050385856628418</v>
      </c>
    </row>
    <row r="140" spans="1:14">
      <c r="A140" t="s">
        <v>425</v>
      </c>
      <c r="B140" t="s">
        <v>426</v>
      </c>
      <c r="C140" t="s">
        <v>427</v>
      </c>
      <c r="D140">
        <v>1</v>
      </c>
      <c r="E140">
        <v>0.1</v>
      </c>
      <c r="F140">
        <v>0.85</v>
      </c>
      <c r="G140" s="13">
        <v>0.05</v>
      </c>
      <c r="H140">
        <v>0.5</v>
      </c>
      <c r="I140">
        <v>0.7</v>
      </c>
      <c r="J140" s="21">
        <v>9.229709625244141E-2</v>
      </c>
      <c r="K140" s="99">
        <v>9.6530084609985356E-2</v>
      </c>
      <c r="L140" s="21">
        <v>-5.695221945643425E-2</v>
      </c>
      <c r="M140" s="21">
        <v>-9.4787059351801872E-3</v>
      </c>
      <c r="N140" s="21">
        <v>0.11305161476135255</v>
      </c>
    </row>
    <row r="141" spans="1:14">
      <c r="A141" t="s">
        <v>428</v>
      </c>
      <c r="B141" t="s">
        <v>429</v>
      </c>
      <c r="C141" t="s">
        <v>430</v>
      </c>
      <c r="D141">
        <v>1</v>
      </c>
      <c r="E141">
        <v>0.1</v>
      </c>
      <c r="F141">
        <v>0.85</v>
      </c>
      <c r="G141" s="13">
        <v>0.05</v>
      </c>
      <c r="H141">
        <v>0.5</v>
      </c>
      <c r="I141">
        <v>0.7</v>
      </c>
      <c r="J141" s="21">
        <v>7.9394350051879878E-2</v>
      </c>
      <c r="K141" s="99">
        <v>8.5504112243652342E-2</v>
      </c>
      <c r="L141" s="21">
        <v>9.4894908368587494E-2</v>
      </c>
      <c r="M141" s="21">
        <v>1.0396997444331646E-2</v>
      </c>
      <c r="N141" s="21">
        <v>0.10794510841369628</v>
      </c>
    </row>
    <row r="142" spans="1:14">
      <c r="A142" t="s">
        <v>431</v>
      </c>
      <c r="B142" t="s">
        <v>432</v>
      </c>
      <c r="C142" t="s">
        <v>433</v>
      </c>
      <c r="D142">
        <v>1.1499999999999999</v>
      </c>
      <c r="E142">
        <v>0.15</v>
      </c>
      <c r="F142">
        <v>0.85</v>
      </c>
      <c r="G142" s="13">
        <v>0.03</v>
      </c>
      <c r="H142">
        <v>0.5</v>
      </c>
      <c r="I142">
        <v>0.7</v>
      </c>
      <c r="J142" s="21">
        <v>0.12347232818603515</v>
      </c>
      <c r="K142" s="99">
        <v>0.12673114776611327</v>
      </c>
      <c r="L142" s="21">
        <v>-7.8790419502183795E-4</v>
      </c>
      <c r="M142" s="21">
        <v>-6.1666866531595588E-4</v>
      </c>
      <c r="N142" s="21">
        <v>0.11553333282470703</v>
      </c>
    </row>
    <row r="143" spans="1:14">
      <c r="A143" t="s">
        <v>434</v>
      </c>
      <c r="B143" t="s">
        <v>435</v>
      </c>
      <c r="C143" t="s">
        <v>436</v>
      </c>
      <c r="D143">
        <v>1.1499999999999999</v>
      </c>
      <c r="E143">
        <v>0.15</v>
      </c>
      <c r="F143">
        <v>0.85</v>
      </c>
      <c r="G143" s="13">
        <v>0.03</v>
      </c>
      <c r="H143">
        <v>0.5</v>
      </c>
      <c r="I143">
        <v>0.7</v>
      </c>
      <c r="J143" s="21">
        <v>0.10590054512023926</v>
      </c>
      <c r="K143" s="99">
        <v>0.11372468948364257</v>
      </c>
      <c r="L143" s="21">
        <v>6.5572443418204784E-3</v>
      </c>
      <c r="M143" s="21">
        <v>1.4987931353971362E-3</v>
      </c>
      <c r="N143" s="21">
        <v>0.11183640480041504</v>
      </c>
    </row>
    <row r="144" spans="1:14">
      <c r="A144" t="s">
        <v>437</v>
      </c>
      <c r="B144" t="s">
        <v>438</v>
      </c>
      <c r="C144" t="s">
        <v>439</v>
      </c>
      <c r="D144">
        <v>1.1499999999999999</v>
      </c>
      <c r="E144">
        <v>0.15</v>
      </c>
      <c r="F144">
        <v>0.85</v>
      </c>
      <c r="G144" s="13">
        <v>0.03</v>
      </c>
      <c r="H144">
        <v>0.5</v>
      </c>
      <c r="I144">
        <v>0.7</v>
      </c>
      <c r="J144" s="21">
        <v>0.10058751106262206</v>
      </c>
      <c r="K144" s="99">
        <v>0.10500569343566894</v>
      </c>
      <c r="L144" s="21">
        <v>9.2750592157244682E-3</v>
      </c>
      <c r="M144" s="21">
        <v>2.8228587470948696E-3</v>
      </c>
      <c r="N144" s="21">
        <v>0.11591714859008789</v>
      </c>
    </row>
    <row r="145" spans="1:14">
      <c r="A145" t="s">
        <v>440</v>
      </c>
      <c r="B145" t="s">
        <v>441</v>
      </c>
      <c r="C145" t="s">
        <v>442</v>
      </c>
      <c r="D145">
        <v>1.1499999999999999</v>
      </c>
      <c r="E145">
        <v>0.15</v>
      </c>
      <c r="F145">
        <v>0.85</v>
      </c>
      <c r="G145" s="13">
        <v>0.03</v>
      </c>
      <c r="H145">
        <v>0.5</v>
      </c>
      <c r="I145">
        <v>0.7</v>
      </c>
      <c r="J145" s="21">
        <v>0.11076958656311035</v>
      </c>
      <c r="K145" s="99">
        <v>0.11545607566833496</v>
      </c>
      <c r="L145" s="21">
        <v>1.891961507499218E-2</v>
      </c>
      <c r="M145" s="21">
        <v>1.0291855782270432E-2</v>
      </c>
      <c r="N145" s="21">
        <v>0.10043506622314453</v>
      </c>
    </row>
    <row r="146" spans="1:14">
      <c r="A146" t="s">
        <v>443</v>
      </c>
      <c r="B146" t="s">
        <v>444</v>
      </c>
      <c r="C146" t="s">
        <v>445</v>
      </c>
      <c r="D146">
        <v>1.1499999999999999</v>
      </c>
      <c r="E146">
        <v>0.15</v>
      </c>
      <c r="F146">
        <v>0.85</v>
      </c>
      <c r="G146" s="13">
        <v>0.03</v>
      </c>
      <c r="H146">
        <v>0.5</v>
      </c>
      <c r="I146">
        <v>0.7</v>
      </c>
      <c r="J146" s="21">
        <v>0.21593965530395509</v>
      </c>
      <c r="K146" s="99">
        <v>0.1316601276397705</v>
      </c>
      <c r="L146" s="21">
        <v>2.4175932630896568E-2</v>
      </c>
      <c r="M146" s="21">
        <v>2.1694064140319824E-2</v>
      </c>
      <c r="N146" s="21">
        <v>0</v>
      </c>
    </row>
    <row r="147" spans="1:14">
      <c r="A147" t="s">
        <v>446</v>
      </c>
      <c r="B147" t="s">
        <v>447</v>
      </c>
      <c r="C147" t="s">
        <v>448</v>
      </c>
      <c r="D147">
        <v>1.1499999999999999</v>
      </c>
      <c r="E147">
        <v>0.15</v>
      </c>
      <c r="F147">
        <v>0.85</v>
      </c>
      <c r="G147" s="13">
        <v>0.03</v>
      </c>
      <c r="H147">
        <v>0.5</v>
      </c>
      <c r="I147">
        <v>0.7</v>
      </c>
      <c r="J147" s="21">
        <v>8.5815830230712889E-2</v>
      </c>
      <c r="K147" s="99">
        <v>9.7871046066284176E-2</v>
      </c>
      <c r="L147" s="21">
        <v>2.1211724728345871E-2</v>
      </c>
      <c r="M147" s="21">
        <v>8.7513970211148262E-3</v>
      </c>
      <c r="N147" s="21">
        <v>0</v>
      </c>
    </row>
    <row r="148" spans="1:14">
      <c r="A148" t="s">
        <v>449</v>
      </c>
      <c r="B148" t="s">
        <v>450</v>
      </c>
      <c r="C148" t="s">
        <v>451</v>
      </c>
      <c r="D148">
        <v>1.1499999999999999</v>
      </c>
      <c r="E148">
        <v>0.15</v>
      </c>
      <c r="F148">
        <v>0.85</v>
      </c>
      <c r="G148" s="13">
        <v>0.03</v>
      </c>
      <c r="H148">
        <v>0.5</v>
      </c>
      <c r="I148">
        <v>0.7</v>
      </c>
      <c r="J148" s="21">
        <v>0.10462954521179199</v>
      </c>
      <c r="K148" s="99">
        <v>0.1161133098602295</v>
      </c>
      <c r="L148" s="21">
        <v>2.1211724728345871E-2</v>
      </c>
      <c r="M148" s="21">
        <v>8.7513970211148262E-3</v>
      </c>
      <c r="N148" s="21">
        <v>0.10736846923828125</v>
      </c>
    </row>
    <row r="149" spans="1:14">
      <c r="A149" t="s">
        <v>452</v>
      </c>
      <c r="B149" t="s">
        <v>453</v>
      </c>
      <c r="C149" t="s">
        <v>454</v>
      </c>
      <c r="D149">
        <v>1.1499999999999999</v>
      </c>
      <c r="E149">
        <v>0.15</v>
      </c>
      <c r="F149">
        <v>0.85</v>
      </c>
      <c r="G149" s="13">
        <v>0.03</v>
      </c>
      <c r="H149">
        <v>0.5</v>
      </c>
      <c r="I149">
        <v>0.7</v>
      </c>
      <c r="J149" s="21">
        <v>0.10561187744140625</v>
      </c>
      <c r="K149" s="99">
        <v>0.11204771041870117</v>
      </c>
      <c r="L149" s="21">
        <v>4.5939434319734573E-2</v>
      </c>
      <c r="M149" s="21">
        <v>2.1070109680294991E-2</v>
      </c>
      <c r="N149" s="21">
        <v>0.111061372756958</v>
      </c>
    </row>
    <row r="150" spans="1:14">
      <c r="A150" t="s">
        <v>455</v>
      </c>
      <c r="B150" t="s">
        <v>456</v>
      </c>
      <c r="C150" t="s">
        <v>457</v>
      </c>
      <c r="D150">
        <v>1</v>
      </c>
      <c r="E150">
        <v>0.05</v>
      </c>
      <c r="F150">
        <v>0.85</v>
      </c>
      <c r="G150" s="13">
        <v>0.05</v>
      </c>
      <c r="H150">
        <v>0.5</v>
      </c>
      <c r="I150">
        <v>0.7</v>
      </c>
      <c r="J150" s="21">
        <v>0.10588336944580078</v>
      </c>
      <c r="K150" s="99">
        <v>0.10003188133239746</v>
      </c>
      <c r="L150" s="21">
        <v>4.5939434319734573E-2</v>
      </c>
      <c r="M150" s="21">
        <v>2.1070109680294991E-2</v>
      </c>
      <c r="N150" s="21">
        <v>0.12670000076293944</v>
      </c>
    </row>
    <row r="151" spans="1:14">
      <c r="A151" t="s">
        <v>458</v>
      </c>
      <c r="B151" t="s">
        <v>459</v>
      </c>
      <c r="C151" t="s">
        <v>460</v>
      </c>
      <c r="D151">
        <v>1</v>
      </c>
      <c r="E151">
        <v>0.05</v>
      </c>
      <c r="F151">
        <v>0.85</v>
      </c>
      <c r="G151" s="13">
        <v>0.05</v>
      </c>
      <c r="H151">
        <v>0.5</v>
      </c>
      <c r="I151">
        <v>0.7</v>
      </c>
      <c r="J151" s="21">
        <v>0.12852682113647462</v>
      </c>
      <c r="K151" s="99">
        <v>0.13479334831237794</v>
      </c>
      <c r="L151" s="21">
        <v>-4.7735162079334259E-3</v>
      </c>
      <c r="M151" s="21">
        <v>-7.7255425276234746E-4</v>
      </c>
      <c r="N151" s="21">
        <v>0.12670000076293944</v>
      </c>
    </row>
    <row r="152" spans="1:14">
      <c r="A152" t="s">
        <v>461</v>
      </c>
      <c r="B152" t="s">
        <v>462</v>
      </c>
      <c r="C152" t="s">
        <v>463</v>
      </c>
      <c r="D152">
        <v>1.1000000000000001</v>
      </c>
      <c r="E152">
        <v>0.1</v>
      </c>
      <c r="F152">
        <v>0.85</v>
      </c>
      <c r="G152" s="13">
        <v>0.05</v>
      </c>
      <c r="H152">
        <v>0.5</v>
      </c>
      <c r="I152">
        <v>0.7</v>
      </c>
      <c r="J152" s="21">
        <v>8.8785324096679691E-2</v>
      </c>
      <c r="K152" s="99">
        <v>9.4835758209228516E-2</v>
      </c>
      <c r="L152" s="21">
        <v>0.24442338943481445</v>
      </c>
      <c r="M152" s="21">
        <v>-9.2977387830615044E-3</v>
      </c>
      <c r="N152" s="21">
        <v>0.11196666717529297</v>
      </c>
    </row>
    <row r="153" spans="1:14">
      <c r="A153" t="s">
        <v>464</v>
      </c>
      <c r="B153" t="s">
        <v>465</v>
      </c>
      <c r="C153" t="s">
        <v>466</v>
      </c>
      <c r="D153">
        <v>1.1000000000000001</v>
      </c>
      <c r="E153">
        <v>0.1</v>
      </c>
      <c r="F153">
        <v>0.85</v>
      </c>
      <c r="G153" s="13">
        <v>0.05</v>
      </c>
      <c r="H153">
        <v>0.5</v>
      </c>
      <c r="I153">
        <v>0.7</v>
      </c>
      <c r="J153" s="21">
        <v>0.10710857391357421</v>
      </c>
      <c r="K153" s="99">
        <v>0.11305282592773437</v>
      </c>
      <c r="L153" s="21">
        <v>-1.929914578795433E-2</v>
      </c>
      <c r="M153" s="21">
        <v>-7.8807072713971138E-3</v>
      </c>
      <c r="N153" s="21">
        <v>0.11550000190734863</v>
      </c>
    </row>
    <row r="154" spans="1:14">
      <c r="A154" t="s">
        <v>467</v>
      </c>
      <c r="B154" t="s">
        <v>468</v>
      </c>
      <c r="C154" t="s">
        <v>469</v>
      </c>
      <c r="D154">
        <v>1.1000000000000001</v>
      </c>
      <c r="E154">
        <v>0.1</v>
      </c>
      <c r="F154">
        <v>0.85</v>
      </c>
      <c r="G154" s="13">
        <v>0.05</v>
      </c>
      <c r="H154">
        <v>0.5</v>
      </c>
      <c r="I154">
        <v>0.7</v>
      </c>
      <c r="J154" s="21">
        <v>0.10710857391357421</v>
      </c>
      <c r="K154" s="99">
        <v>0.11305282592773437</v>
      </c>
      <c r="L154" s="21">
        <v>-1.929914578795433E-2</v>
      </c>
      <c r="M154" s="21">
        <v>-7.8807072713971138E-3</v>
      </c>
      <c r="N154" s="21">
        <v>0.11550000190734863</v>
      </c>
    </row>
    <row r="155" spans="1:14">
      <c r="A155" t="s">
        <v>470</v>
      </c>
      <c r="B155" t="s">
        <v>471</v>
      </c>
      <c r="C155" t="s">
        <v>472</v>
      </c>
      <c r="D155">
        <v>1.1000000000000001</v>
      </c>
      <c r="E155">
        <v>0.1</v>
      </c>
      <c r="F155">
        <v>0.85</v>
      </c>
      <c r="G155" s="13">
        <v>0.05</v>
      </c>
      <c r="H155">
        <v>0.5</v>
      </c>
      <c r="I155">
        <v>0.7</v>
      </c>
      <c r="J155" s="21">
        <v>0.10710857391357421</v>
      </c>
      <c r="K155" s="99">
        <v>0.11305282592773437</v>
      </c>
      <c r="L155" s="21">
        <v>-1.929914578795433E-2</v>
      </c>
      <c r="M155" s="21">
        <v>-7.8807072713971138E-3</v>
      </c>
      <c r="N155" s="21">
        <v>0.11550000190734863</v>
      </c>
    </row>
    <row r="156" spans="1:14">
      <c r="A156" t="s">
        <v>473</v>
      </c>
      <c r="B156" t="s">
        <v>474</v>
      </c>
      <c r="C156" t="s">
        <v>475</v>
      </c>
      <c r="D156">
        <v>1</v>
      </c>
      <c r="E156">
        <v>0.1</v>
      </c>
      <c r="F156">
        <v>0.85</v>
      </c>
      <c r="G156" s="13">
        <v>0.05</v>
      </c>
      <c r="H156">
        <v>0.5</v>
      </c>
      <c r="I156">
        <v>0.7</v>
      </c>
      <c r="J156" s="21">
        <v>8.9389343261718754E-2</v>
      </c>
      <c r="K156" s="99">
        <v>0.10602911949157715</v>
      </c>
      <c r="L156" s="21">
        <v>8.0372728407382965E-2</v>
      </c>
      <c r="M156" s="21">
        <v>1.0297465138137341E-2</v>
      </c>
      <c r="N156" s="21">
        <v>0.10308396339416503</v>
      </c>
    </row>
    <row r="157" spans="1:14">
      <c r="A157" t="s">
        <v>476</v>
      </c>
      <c r="B157" t="s">
        <v>477</v>
      </c>
      <c r="C157" t="s">
        <v>478</v>
      </c>
      <c r="D157">
        <v>1</v>
      </c>
      <c r="E157">
        <v>0.1</v>
      </c>
      <c r="F157">
        <v>0.85</v>
      </c>
      <c r="G157" s="13">
        <v>0.05</v>
      </c>
      <c r="H157">
        <v>0.5</v>
      </c>
      <c r="I157">
        <v>0.7</v>
      </c>
      <c r="J157" s="21">
        <v>0.11742177009582519</v>
      </c>
      <c r="K157" s="99">
        <v>0.12129956245422363</v>
      </c>
      <c r="L157" s="21">
        <v>1.0751331225037575E-2</v>
      </c>
      <c r="M157" s="21">
        <v>7.1204416453838348E-3</v>
      </c>
      <c r="N157" s="21">
        <v>0.10940000534057617</v>
      </c>
    </row>
    <row r="158" spans="1:14">
      <c r="A158" t="s">
        <v>479</v>
      </c>
      <c r="B158" t="s">
        <v>480</v>
      </c>
      <c r="C158" t="s">
        <v>481</v>
      </c>
      <c r="D158">
        <v>1</v>
      </c>
      <c r="E158">
        <v>0.1</v>
      </c>
      <c r="F158">
        <v>0.85</v>
      </c>
      <c r="G158" s="13">
        <v>0.05</v>
      </c>
      <c r="H158">
        <v>0.5</v>
      </c>
      <c r="I158">
        <v>0.7</v>
      </c>
      <c r="J158" s="21">
        <v>0.10305068016052246</v>
      </c>
      <c r="K158" s="99">
        <v>0.10770955085754394</v>
      </c>
      <c r="L158" s="21">
        <v>0.31653708219528198</v>
      </c>
      <c r="M158" s="21">
        <v>-3.4191448241472244E-2</v>
      </c>
      <c r="N158" s="21">
        <v>0.11797215461730957</v>
      </c>
    </row>
    <row r="159" spans="1:14">
      <c r="A159" t="s">
        <v>482</v>
      </c>
      <c r="B159" t="s">
        <v>483</v>
      </c>
      <c r="C159" t="s">
        <v>484</v>
      </c>
      <c r="D159">
        <v>1.1000000000000001</v>
      </c>
      <c r="E159">
        <v>0.15</v>
      </c>
      <c r="F159">
        <v>0.85</v>
      </c>
      <c r="G159" s="13">
        <v>0.05</v>
      </c>
      <c r="H159">
        <v>0.5</v>
      </c>
      <c r="I159">
        <v>0.7</v>
      </c>
      <c r="J159" s="21">
        <v>0.11689263343811035</v>
      </c>
      <c r="K159" s="99">
        <v>0.118737154006958</v>
      </c>
      <c r="L159" s="21">
        <v>5.470995232462883E-2</v>
      </c>
      <c r="M159" s="21">
        <v>2.766006626188755E-2</v>
      </c>
      <c r="N159" s="21">
        <v>0.11563300132751465</v>
      </c>
    </row>
    <row r="160" spans="1:14">
      <c r="A160" t="s">
        <v>485</v>
      </c>
      <c r="B160" t="s">
        <v>486</v>
      </c>
      <c r="C160" t="s">
        <v>487</v>
      </c>
      <c r="D160">
        <v>1.3</v>
      </c>
      <c r="E160">
        <v>0.2</v>
      </c>
      <c r="F160">
        <v>0.85</v>
      </c>
      <c r="G160" s="13">
        <v>0.05</v>
      </c>
      <c r="H160">
        <v>0.5</v>
      </c>
      <c r="I160">
        <v>0.7</v>
      </c>
      <c r="J160" s="21">
        <v>0.10404762268066406</v>
      </c>
      <c r="K160" s="99">
        <v>0.10788569450378419</v>
      </c>
      <c r="L160" s="21">
        <v>5.570128932595253E-2</v>
      </c>
      <c r="M160" s="21">
        <v>2.0362071692943573E-2</v>
      </c>
      <c r="N160" s="21">
        <v>0.11193333625793457</v>
      </c>
    </row>
    <row r="161" spans="1:14">
      <c r="A161" t="s">
        <v>488</v>
      </c>
      <c r="B161" t="s">
        <v>489</v>
      </c>
      <c r="C161" t="s">
        <v>490</v>
      </c>
      <c r="D161">
        <v>1.1000000000000001</v>
      </c>
      <c r="E161">
        <v>0.1</v>
      </c>
      <c r="F161">
        <v>0.85</v>
      </c>
      <c r="G161" s="13">
        <v>0.05</v>
      </c>
      <c r="H161">
        <v>0.5</v>
      </c>
      <c r="I161">
        <v>0.7</v>
      </c>
      <c r="J161" s="21">
        <v>0.11997973442077636</v>
      </c>
      <c r="K161" s="99">
        <v>0.12222736358642577</v>
      </c>
      <c r="L161" s="21">
        <v>1.0201274417340755E-2</v>
      </c>
      <c r="M161" s="21">
        <v>6.5517821349203587E-3</v>
      </c>
      <c r="N161" s="21">
        <v>0.10414204597473145</v>
      </c>
    </row>
    <row r="162" spans="1:14">
      <c r="A162" t="s">
        <v>491</v>
      </c>
      <c r="B162" t="s">
        <v>492</v>
      </c>
      <c r="C162" t="s">
        <v>493</v>
      </c>
      <c r="D162">
        <v>1.1000000000000001</v>
      </c>
      <c r="E162">
        <v>0.15</v>
      </c>
      <c r="F162">
        <v>0.85</v>
      </c>
      <c r="G162" s="13">
        <v>0.05</v>
      </c>
      <c r="H162">
        <v>0.5</v>
      </c>
      <c r="I162">
        <v>0.7</v>
      </c>
      <c r="J162" s="21">
        <v>0.11997973442077636</v>
      </c>
      <c r="K162" s="99">
        <v>0.12222736358642577</v>
      </c>
      <c r="L162" s="21">
        <v>1.0201274417340755E-2</v>
      </c>
      <c r="M162" s="21">
        <v>6.5517821349203587E-3</v>
      </c>
      <c r="N162" s="21">
        <v>0.10414204597473145</v>
      </c>
    </row>
    <row r="163" spans="1:14">
      <c r="A163" t="s">
        <v>494</v>
      </c>
      <c r="B163" t="s">
        <v>495</v>
      </c>
      <c r="C163" t="s">
        <v>496</v>
      </c>
      <c r="D163">
        <v>1.1000000000000001</v>
      </c>
      <c r="E163">
        <v>0.15</v>
      </c>
      <c r="F163">
        <v>0.85</v>
      </c>
      <c r="G163" s="13">
        <v>0.05</v>
      </c>
      <c r="H163">
        <v>0.5</v>
      </c>
      <c r="I163">
        <v>0.7</v>
      </c>
      <c r="J163" s="21">
        <v>0.11997973442077636</v>
      </c>
      <c r="K163" s="99">
        <v>0.12222736358642577</v>
      </c>
      <c r="L163" s="21">
        <v>1.0201274417340755E-2</v>
      </c>
      <c r="M163" s="21">
        <v>6.5517821349203587E-3</v>
      </c>
      <c r="N163" s="21">
        <v>0.10414204597473145</v>
      </c>
    </row>
    <row r="164" spans="1:14">
      <c r="A164" t="s">
        <v>497</v>
      </c>
      <c r="B164" t="s">
        <v>498</v>
      </c>
      <c r="C164" t="s">
        <v>499</v>
      </c>
      <c r="D164">
        <v>1.1000000000000001</v>
      </c>
      <c r="E164">
        <v>0.15</v>
      </c>
      <c r="F164">
        <v>0.85</v>
      </c>
      <c r="G164" s="13">
        <v>0.05</v>
      </c>
      <c r="H164">
        <v>0.5</v>
      </c>
      <c r="I164">
        <v>0.7</v>
      </c>
      <c r="J164" s="21">
        <v>0.11997973442077636</v>
      </c>
      <c r="K164" s="99">
        <v>0.12222736358642577</v>
      </c>
      <c r="L164" s="21">
        <v>1.0201274417340755E-2</v>
      </c>
      <c r="M164" s="21">
        <v>6.5517821349203587E-3</v>
      </c>
      <c r="N164" s="21">
        <v>0.10414204597473145</v>
      </c>
    </row>
    <row r="165" spans="1:14">
      <c r="A165" t="s">
        <v>500</v>
      </c>
      <c r="B165" t="s">
        <v>501</v>
      </c>
      <c r="C165" t="s">
        <v>502</v>
      </c>
      <c r="D165">
        <v>1.1000000000000001</v>
      </c>
      <c r="E165">
        <v>0.15</v>
      </c>
      <c r="F165">
        <v>0.85</v>
      </c>
      <c r="G165" s="13">
        <v>0.05</v>
      </c>
      <c r="H165">
        <v>0.5</v>
      </c>
      <c r="I165">
        <v>0.7</v>
      </c>
      <c r="J165" s="21">
        <v>0.12223526000976563</v>
      </c>
      <c r="K165" s="99">
        <v>0.1257863998413086</v>
      </c>
      <c r="L165" s="21">
        <v>2.2824544459581375E-2</v>
      </c>
      <c r="M165" s="21">
        <v>1.8754696473479271E-2</v>
      </c>
      <c r="N165" s="21">
        <v>0.10414204597473145</v>
      </c>
    </row>
    <row r="166" spans="1:14">
      <c r="A166" t="s">
        <v>503</v>
      </c>
      <c r="B166" t="s">
        <v>504</v>
      </c>
      <c r="C166" t="s">
        <v>505</v>
      </c>
      <c r="D166">
        <v>1.1000000000000001</v>
      </c>
      <c r="E166">
        <v>0.15</v>
      </c>
      <c r="F166">
        <v>0.85</v>
      </c>
      <c r="G166" s="13">
        <v>0.05</v>
      </c>
      <c r="H166">
        <v>0.5</v>
      </c>
      <c r="I166">
        <v>0.7</v>
      </c>
      <c r="J166" s="21">
        <v>0.13888965606689452</v>
      </c>
      <c r="K166" s="99">
        <v>0.10086421966552735</v>
      </c>
      <c r="L166" s="21">
        <v>0.37921088933944702</v>
      </c>
      <c r="M166" s="21">
        <v>9.1839514672756195E-2</v>
      </c>
      <c r="N166" s="21">
        <v>0.11019371986389161</v>
      </c>
    </row>
    <row r="167" spans="1:14">
      <c r="A167" t="s">
        <v>506</v>
      </c>
      <c r="B167" t="s">
        <v>507</v>
      </c>
      <c r="C167" t="s">
        <v>508</v>
      </c>
      <c r="D167">
        <v>1.1000000000000001</v>
      </c>
      <c r="E167">
        <v>0.15</v>
      </c>
      <c r="F167">
        <v>0.85</v>
      </c>
      <c r="G167" s="13">
        <v>0.1</v>
      </c>
      <c r="H167">
        <v>0.5</v>
      </c>
      <c r="I167">
        <v>0.7</v>
      </c>
      <c r="J167" s="21">
        <v>0.13888965606689452</v>
      </c>
      <c r="K167" s="99">
        <v>0.10086421966552735</v>
      </c>
      <c r="L167" s="21">
        <v>0.37921088933944702</v>
      </c>
      <c r="M167" s="21">
        <v>9.1839514672756195E-2</v>
      </c>
      <c r="N167" s="21">
        <v>0.10923298835754394</v>
      </c>
    </row>
    <row r="168" spans="1:14">
      <c r="A168" t="s">
        <v>509</v>
      </c>
      <c r="B168" t="s">
        <v>510</v>
      </c>
      <c r="C168" t="s">
        <v>511</v>
      </c>
      <c r="D168">
        <v>1.1000000000000001</v>
      </c>
      <c r="E168">
        <v>0.15</v>
      </c>
      <c r="F168">
        <v>0.85</v>
      </c>
      <c r="G168" s="13">
        <v>0.1</v>
      </c>
      <c r="H168">
        <v>0.5</v>
      </c>
      <c r="I168">
        <v>0.7</v>
      </c>
      <c r="J168" s="21">
        <v>0.13888965606689452</v>
      </c>
      <c r="K168" s="99">
        <v>0.10086421966552735</v>
      </c>
      <c r="L168" s="21">
        <v>0.37921088933944702</v>
      </c>
      <c r="M168" s="21">
        <v>9.1839514672756195E-2</v>
      </c>
      <c r="N168" s="21">
        <v>0.10923298835754394</v>
      </c>
    </row>
    <row r="169" spans="1:14">
      <c r="A169" t="s">
        <v>512</v>
      </c>
      <c r="B169" t="s">
        <v>513</v>
      </c>
      <c r="C169" t="s">
        <v>514</v>
      </c>
      <c r="D169">
        <v>1.3</v>
      </c>
      <c r="E169">
        <v>0.2</v>
      </c>
      <c r="F169">
        <v>0.85</v>
      </c>
      <c r="G169" s="13">
        <v>0.1</v>
      </c>
      <c r="H169">
        <v>0.5</v>
      </c>
      <c r="I169">
        <v>0.7</v>
      </c>
      <c r="J169" s="21">
        <v>0.12032692909240722</v>
      </c>
      <c r="K169" s="99">
        <v>0.12155043601989746</v>
      </c>
      <c r="L169" s="21">
        <v>7.4396640062332153E-2</v>
      </c>
      <c r="M169" s="21">
        <v>5.6003715842962265E-2</v>
      </c>
      <c r="N169" s="21">
        <v>0.11469602584838867</v>
      </c>
    </row>
    <row r="170" spans="1:14">
      <c r="A170" t="s">
        <v>515</v>
      </c>
      <c r="B170" t="s">
        <v>516</v>
      </c>
      <c r="C170" t="s">
        <v>517</v>
      </c>
      <c r="D170">
        <v>1.3</v>
      </c>
      <c r="E170">
        <v>0.2</v>
      </c>
      <c r="F170">
        <v>0.85</v>
      </c>
      <c r="G170" s="13">
        <v>0.1</v>
      </c>
      <c r="H170">
        <v>0.5</v>
      </c>
      <c r="I170">
        <v>0.7</v>
      </c>
      <c r="J170" s="21">
        <v>0.12032692909240722</v>
      </c>
      <c r="K170" s="99">
        <v>0.12155043601989746</v>
      </c>
      <c r="L170" s="21">
        <v>7.9611137509346008E-2</v>
      </c>
      <c r="M170" s="21">
        <v>4.8059694468975067E-2</v>
      </c>
      <c r="N170" s="21">
        <v>0.12072935104370117</v>
      </c>
    </row>
    <row r="171" spans="1:14">
      <c r="A171" t="s">
        <v>518</v>
      </c>
      <c r="B171" t="s">
        <v>519</v>
      </c>
      <c r="C171" t="s">
        <v>520</v>
      </c>
      <c r="D171">
        <v>1.1000000000000001</v>
      </c>
      <c r="E171">
        <v>0.1</v>
      </c>
      <c r="F171">
        <v>0.85</v>
      </c>
      <c r="G171" s="13">
        <v>0.1</v>
      </c>
      <c r="H171">
        <v>0.5</v>
      </c>
      <c r="I171">
        <v>0.7</v>
      </c>
      <c r="J171" s="21">
        <v>0.12032692909240722</v>
      </c>
      <c r="K171" s="99">
        <v>0.12155043601989746</v>
      </c>
      <c r="L171" s="21">
        <v>7.9611137509346008E-2</v>
      </c>
      <c r="M171" s="21">
        <v>4.8059694468975067E-2</v>
      </c>
      <c r="N171" s="21">
        <v>0.12072935104370117</v>
      </c>
    </row>
    <row r="172" spans="1:14">
      <c r="A172" t="s">
        <v>521</v>
      </c>
      <c r="B172" t="s">
        <v>522</v>
      </c>
      <c r="C172" t="s">
        <v>523</v>
      </c>
      <c r="D172">
        <v>1</v>
      </c>
      <c r="E172">
        <v>0.05</v>
      </c>
      <c r="F172">
        <v>0.85</v>
      </c>
      <c r="G172" s="13">
        <v>0.1</v>
      </c>
      <c r="H172">
        <v>0.5</v>
      </c>
      <c r="I172">
        <v>0.7</v>
      </c>
      <c r="J172" s="21">
        <v>9.3775615692138672E-2</v>
      </c>
      <c r="K172" s="99">
        <v>9.2021808624267579E-2</v>
      </c>
      <c r="L172" s="21">
        <v>1.063850149512291E-2</v>
      </c>
      <c r="M172" s="21">
        <v>2.0294722635298967E-3</v>
      </c>
      <c r="N172" s="21">
        <v>0.10453100204467773</v>
      </c>
    </row>
    <row r="173" spans="1:14">
      <c r="A173" t="s">
        <v>524</v>
      </c>
      <c r="B173" t="s">
        <v>525</v>
      </c>
      <c r="C173" t="s">
        <v>526</v>
      </c>
      <c r="D173">
        <v>1.2</v>
      </c>
      <c r="E173">
        <v>0.15</v>
      </c>
      <c r="F173">
        <v>0.85</v>
      </c>
      <c r="G173" s="13">
        <v>0.1</v>
      </c>
      <c r="H173">
        <v>0.5</v>
      </c>
      <c r="I173">
        <v>0.7</v>
      </c>
      <c r="J173" s="21">
        <v>0.11252538681030273</v>
      </c>
      <c r="K173" s="99">
        <v>0.11225880622863769</v>
      </c>
      <c r="L173" s="21">
        <v>2.3793382570147514E-2</v>
      </c>
      <c r="M173" s="21">
        <v>1.3875404372811317E-2</v>
      </c>
      <c r="N173" s="21">
        <v>0.10429934501647949</v>
      </c>
    </row>
    <row r="174" spans="1:14">
      <c r="A174" t="s">
        <v>527</v>
      </c>
      <c r="B174" t="s">
        <v>528</v>
      </c>
      <c r="C174" t="s">
        <v>529</v>
      </c>
      <c r="D174">
        <v>1.1499999999999999</v>
      </c>
      <c r="E174">
        <v>0.2</v>
      </c>
      <c r="F174">
        <v>0.85</v>
      </c>
      <c r="G174" s="13">
        <v>0.1</v>
      </c>
      <c r="H174">
        <v>0.5</v>
      </c>
      <c r="I174">
        <v>0.7</v>
      </c>
      <c r="J174" s="21">
        <v>9.3107833862304687E-2</v>
      </c>
      <c r="K174" s="99">
        <v>0.10950155258178711</v>
      </c>
      <c r="L174" s="21">
        <v>4.2603161185979843E-2</v>
      </c>
      <c r="M174" s="21">
        <v>1.8142243847250938E-2</v>
      </c>
      <c r="N174" s="21">
        <v>0.10070168495178222</v>
      </c>
    </row>
    <row r="175" spans="1:14">
      <c r="A175" t="s">
        <v>530</v>
      </c>
      <c r="B175" t="s">
        <v>531</v>
      </c>
      <c r="C175" t="s">
        <v>532</v>
      </c>
      <c r="D175">
        <v>1.1499999999999999</v>
      </c>
      <c r="E175">
        <v>0.2</v>
      </c>
      <c r="F175">
        <v>0.85</v>
      </c>
      <c r="G175" s="13">
        <v>0.1</v>
      </c>
      <c r="H175">
        <v>0.5</v>
      </c>
      <c r="I175">
        <v>0.7</v>
      </c>
      <c r="J175" s="21">
        <v>9.3107833862304687E-2</v>
      </c>
      <c r="K175" s="99">
        <v>0.10950155258178711</v>
      </c>
      <c r="L175" s="21">
        <v>4.2603161185979843E-2</v>
      </c>
      <c r="M175" s="21">
        <v>1.8142243847250938E-2</v>
      </c>
      <c r="N175" s="21">
        <v>0.10070168495178222</v>
      </c>
    </row>
  </sheetData>
  <sortState xmlns:xlrd2="http://schemas.microsoft.com/office/spreadsheetml/2017/richdata2" ref="A2:I175">
    <sortCondition ref="B2:B17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FA6D-610D-4D68-B891-EF8E646DC803}">
  <dimension ref="A1:I12"/>
  <sheetViews>
    <sheetView workbookViewId="0">
      <selection activeCell="A11" sqref="A11"/>
    </sheetView>
  </sheetViews>
  <sheetFormatPr defaultRowHeight="14.75"/>
  <cols>
    <col min="1" max="1" width="30.76953125" customWidth="1"/>
    <col min="2" max="3" width="27" customWidth="1"/>
    <col min="4" max="4" width="15.54296875" customWidth="1"/>
    <col min="6" max="6" width="24.31640625" customWidth="1"/>
    <col min="7" max="7" width="18.6796875" customWidth="1"/>
    <col min="8" max="8" width="24.6796875" customWidth="1"/>
    <col min="9" max="9" width="15" customWidth="1"/>
  </cols>
  <sheetData>
    <row r="1" spans="1:9" ht="99" customHeight="1" thickBot="1">
      <c r="A1" s="97" t="s">
        <v>930</v>
      </c>
    </row>
    <row r="2" spans="1:9" ht="37.200000000000003" customHeight="1" thickBot="1">
      <c r="A2" s="38" t="s">
        <v>871</v>
      </c>
      <c r="F2" t="s">
        <v>872</v>
      </c>
    </row>
    <row r="3" spans="1:9" ht="15.5" thickBot="1">
      <c r="A3" s="84" t="s">
        <v>845</v>
      </c>
      <c r="B3" s="87" t="s">
        <v>846</v>
      </c>
      <c r="C3" s="87" t="s">
        <v>847</v>
      </c>
      <c r="D3" s="38"/>
      <c r="E3" s="38"/>
      <c r="F3" s="84" t="s">
        <v>845</v>
      </c>
      <c r="G3" s="87" t="s">
        <v>846</v>
      </c>
      <c r="H3" s="87" t="s">
        <v>847</v>
      </c>
    </row>
    <row r="4" spans="1:9" ht="15.5" thickBot="1">
      <c r="A4" s="85" t="s">
        <v>848</v>
      </c>
      <c r="B4" s="79">
        <v>8</v>
      </c>
      <c r="C4" s="79">
        <f>PMT(B4,B5,-B6)</f>
        <v>4806.5934065934061</v>
      </c>
      <c r="F4" s="85" t="s">
        <v>848</v>
      </c>
      <c r="G4" s="79">
        <v>-0.47834244834638828</v>
      </c>
      <c r="H4" s="79">
        <f>PMT(G4,G5,-G6)</f>
        <v>47.482935879913953</v>
      </c>
    </row>
    <row r="5" spans="1:9" ht="15.5" thickBot="1">
      <c r="A5" s="85" t="s">
        <v>849</v>
      </c>
      <c r="B5" s="86">
        <v>3</v>
      </c>
      <c r="C5" s="86"/>
      <c r="F5" s="85" t="s">
        <v>849</v>
      </c>
      <c r="G5" s="86">
        <v>3</v>
      </c>
      <c r="H5" s="86"/>
    </row>
    <row r="6" spans="1:9" ht="15.5" thickBot="1">
      <c r="A6" s="85" t="s">
        <v>850</v>
      </c>
      <c r="B6" s="86">
        <v>600</v>
      </c>
      <c r="C6" s="86"/>
      <c r="F6" s="85" t="s">
        <v>850</v>
      </c>
      <c r="G6" s="86">
        <v>600</v>
      </c>
      <c r="H6" s="86"/>
    </row>
    <row r="7" spans="1:9" ht="45" thickBot="1">
      <c r="A7" s="85" t="s">
        <v>933</v>
      </c>
      <c r="B7" s="86" t="s">
        <v>852</v>
      </c>
      <c r="C7" s="86"/>
      <c r="F7" s="85" t="s">
        <v>851</v>
      </c>
      <c r="G7" s="86" t="s">
        <v>852</v>
      </c>
      <c r="H7" s="86"/>
    </row>
    <row r="8" spans="1:9" ht="45" thickBot="1">
      <c r="A8" s="85" t="s">
        <v>855</v>
      </c>
      <c r="B8" s="86">
        <v>222</v>
      </c>
      <c r="C8" s="79">
        <f>B8/$C$4</f>
        <v>4.6186556927297673E-2</v>
      </c>
      <c r="D8" s="85" t="s">
        <v>676</v>
      </c>
      <c r="F8" s="85" t="s">
        <v>855</v>
      </c>
      <c r="G8" s="86">
        <v>176.04599999999999</v>
      </c>
      <c r="H8" s="79">
        <f>G8/$H$4</f>
        <v>3.7075635012381425</v>
      </c>
      <c r="I8" s="85" t="s">
        <v>676</v>
      </c>
    </row>
    <row r="9" spans="1:9" ht="45" thickBot="1">
      <c r="A9" s="85" t="s">
        <v>856</v>
      </c>
      <c r="B9" s="86">
        <v>294</v>
      </c>
      <c r="C9" s="79">
        <f>B9/$C$4</f>
        <v>6.1165980795610433E-2</v>
      </c>
      <c r="D9" s="85" t="s">
        <v>676</v>
      </c>
      <c r="F9" s="85" t="s">
        <v>856</v>
      </c>
      <c r="G9" s="86">
        <v>164.09402362239999</v>
      </c>
      <c r="H9" s="79">
        <f t="shared" ref="H9:H10" si="0">G9/$H$4</f>
        <v>3.4558525201011085</v>
      </c>
      <c r="I9" s="85" t="s">
        <v>676</v>
      </c>
    </row>
    <row r="10" spans="1:9" ht="64.900000000000006" customHeight="1" thickBot="1">
      <c r="A10" s="85" t="s">
        <v>857</v>
      </c>
      <c r="B10" s="86">
        <v>327</v>
      </c>
      <c r="C10" s="79">
        <f>B10/$C$4</f>
        <v>6.8031550068587118E-2</v>
      </c>
      <c r="D10" s="85" t="s">
        <v>676</v>
      </c>
      <c r="F10" s="85" t="s">
        <v>857</v>
      </c>
      <c r="G10" s="86">
        <v>71.22122495275363</v>
      </c>
      <c r="H10" s="79">
        <f t="shared" si="0"/>
        <v>1.4999330524311862</v>
      </c>
      <c r="I10" s="85" t="s">
        <v>676</v>
      </c>
    </row>
    <row r="11" spans="1:9" ht="45" thickBot="1">
      <c r="A11" s="85" t="s">
        <v>982</v>
      </c>
      <c r="B11" s="86" t="s">
        <v>853</v>
      </c>
      <c r="C11" s="88">
        <f>MIN(C8:C10)</f>
        <v>4.6186556927297673E-2</v>
      </c>
      <c r="F11" s="85" t="s">
        <v>982</v>
      </c>
      <c r="G11" s="86" t="s">
        <v>853</v>
      </c>
      <c r="H11" s="88">
        <f>MIN(H8:H10)</f>
        <v>1.4999330524311862</v>
      </c>
      <c r="I11" s="85"/>
    </row>
    <row r="12" spans="1:9" ht="15.5" thickBot="1">
      <c r="A12" s="85" t="s">
        <v>854</v>
      </c>
      <c r="B12" s="86">
        <v>1.5</v>
      </c>
      <c r="C12" s="86"/>
      <c r="F12" s="85" t="s">
        <v>854</v>
      </c>
      <c r="G12" s="86">
        <v>1.5</v>
      </c>
      <c r="H12" s="8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оценка проекта и долгового риск</vt:lpstr>
      <vt:lpstr>2.Фин устойчивость предпр  </vt:lpstr>
      <vt:lpstr>3.Исх проект данные и риски  </vt:lpstr>
      <vt:lpstr>4.Оценка проекта </vt:lpstr>
      <vt:lpstr>5.Отрасл нормативы и WACC </vt:lpstr>
      <vt:lpstr>6.Расчет предельной ставки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Yukhniuk</dc:creator>
  <cp:lastModifiedBy>novoray9191@gmail.com</cp:lastModifiedBy>
  <dcterms:created xsi:type="dcterms:W3CDTF">2025-11-26T21:31:43Z</dcterms:created>
  <dcterms:modified xsi:type="dcterms:W3CDTF">2026-05-28T04:41:36Z</dcterms:modified>
</cp:coreProperties>
</file>